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22020" activeTab="2"/>
  </bookViews>
  <sheets>
    <sheet name="Sheet1" sheetId="1" r:id="rId1"/>
    <sheet name="Sheet2" sheetId="2" r:id="rId2"/>
    <sheet name="Sheet4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<sst xmlns="http://schemas.openxmlformats.org/spreadsheetml/2006/main" count="230" uniqueCount="58">
  <si>
    <t>单位（cm）</t>
  </si>
  <si>
    <t>元</t>
  </si>
  <si>
    <t>单位</t>
  </si>
  <si>
    <t>袋子尺寸（cm）</t>
  </si>
  <si>
    <t>折边</t>
  </si>
  <si>
    <t>布料价格</t>
  </si>
  <si>
    <t>吨</t>
  </si>
  <si>
    <t>接缝</t>
  </si>
  <si>
    <t>宽</t>
  </si>
  <si>
    <t>每平米克重</t>
  </si>
  <si>
    <t>高</t>
  </si>
  <si>
    <t>底侧</t>
  </si>
  <si>
    <t>宽幅</t>
  </si>
  <si>
    <t>高*2+底侧+折边*2</t>
  </si>
  <si>
    <t>换算单位:厘米-米</t>
  </si>
  <si>
    <t>提手</t>
  </si>
  <si>
    <t>袋子</t>
  </si>
  <si>
    <t>宽度</t>
  </si>
  <si>
    <t>厘米</t>
  </si>
  <si>
    <t>布长</t>
  </si>
  <si>
    <t>宽+底侧+接缝</t>
  </si>
  <si>
    <t>长度</t>
  </si>
  <si>
    <t>高度</t>
  </si>
  <si>
    <t>克重</t>
  </si>
  <si>
    <t>克</t>
  </si>
  <si>
    <t>单价</t>
  </si>
  <si>
    <t>根数</t>
  </si>
  <si>
    <t>条</t>
  </si>
  <si>
    <t>布料单价</t>
  </si>
  <si>
    <t>布料面积</t>
  </si>
  <si>
    <t>宽幅*布长</t>
  </si>
  <si>
    <t>米</t>
  </si>
  <si>
    <t>单个袋子布料总克重</t>
  </si>
  <si>
    <t>布料面积*每平米克重</t>
  </si>
  <si>
    <t>换算单位：克-千克</t>
  </si>
  <si>
    <t>单个袋子布料重量</t>
  </si>
  <si>
    <t>宽度*长度*克重*单价*根数</t>
  </si>
  <si>
    <t>千克-吨</t>
  </si>
  <si>
    <t>每个袋子价格</t>
  </si>
  <si>
    <t>单个袋子布料重量*布料价格/1000</t>
  </si>
  <si>
    <t>宽幅=高*2+底侧+折边*2</t>
  </si>
  <si>
    <t>布长=宽+底侧+接缝</t>
  </si>
  <si>
    <t>布料面积=宽幅*布长</t>
  </si>
  <si>
    <t>单个袋子布料重量=布料面积*克重</t>
  </si>
  <si>
    <t>价格=单个袋子布料重量*布料价格</t>
  </si>
  <si>
    <t>（高*2+底侧+折边*2）*（宽+底侧+接缝）*克重*布料价格</t>
  </si>
  <si>
    <t>日期</t>
  </si>
  <si>
    <t>尺寸</t>
  </si>
  <si>
    <t>颜色</t>
  </si>
  <si>
    <t>数量</t>
  </si>
  <si>
    <t>售价</t>
  </si>
  <si>
    <t>提手成本</t>
  </si>
  <si>
    <t>袋子成本</t>
  </si>
  <si>
    <t>毛利（不含人工电费）</t>
  </si>
  <si>
    <t>3号机</t>
  </si>
  <si>
    <t>35*27*10</t>
  </si>
  <si>
    <t>彩色</t>
  </si>
  <si>
    <t>黑白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</si>
</sst>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_ "/>
    <numFmt numFmtId="177" formatCode="0.00_ "/>
  </numFmts>
  <fonts count="22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theme="9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2" borderId="1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11">
      <alignment vertical="center"/>
    </xf>
    <xf numFmtId="0" fontId="9" fillId="0" borderId="11">
      <alignment vertical="center"/>
    </xf>
    <xf numFmtId="0" fontId="10" fillId="0" borderId="12">
      <alignment vertical="center"/>
    </xf>
    <xf numFmtId="0" fontId="10" fillId="0" borderId="0">
      <alignment vertical="center"/>
    </xf>
    <xf numFmtId="0" fontId="11" fillId="3" borderId="13">
      <alignment vertical="center"/>
    </xf>
    <xf numFmtId="0" fontId="12" fillId="4" borderId="14">
      <alignment vertical="center"/>
    </xf>
    <xf numFmtId="0" fontId="13" fillId="4" borderId="13">
      <alignment vertical="center"/>
    </xf>
    <xf numFmtId="0" fontId="14" fillId="5" borderId="15">
      <alignment vertical="center"/>
    </xf>
    <xf numFmtId="0" fontId="15" fillId="0" borderId="16">
      <alignment vertical="center"/>
    </xf>
    <xf numFmtId="0" fontId="16" fillId="0" borderId="17">
      <alignment vertical="center"/>
    </xf>
    <xf numFmtId="0" fontId="17" fillId="6" borderId="0">
      <alignment vertical="center"/>
    </xf>
    <xf numFmtId="0" fontId="18" fillId="7" borderId="0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1" fillId="11" borderId="0">
      <alignment vertical="center"/>
    </xf>
    <xf numFmtId="0" fontId="20" fillId="12" borderId="0">
      <alignment vertical="center"/>
    </xf>
    <xf numFmtId="0" fontId="20" fillId="13" borderId="0">
      <alignment vertical="center"/>
    </xf>
    <xf numFmtId="0" fontId="21" fillId="14" borderId="0">
      <alignment vertical="center"/>
    </xf>
    <xf numFmtId="0" fontId="21" fillId="15" borderId="0">
      <alignment vertical="center"/>
    </xf>
    <xf numFmtId="0" fontId="20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21" fillId="19" borderId="0">
      <alignment vertical="center"/>
    </xf>
    <xf numFmtId="0" fontId="20" fillId="20" borderId="0">
      <alignment vertical="center"/>
    </xf>
    <xf numFmtId="0" fontId="20" fillId="21" borderId="0">
      <alignment vertical="center"/>
    </xf>
    <xf numFmtId="0" fontId="21" fillId="22" borderId="0">
      <alignment vertical="center"/>
    </xf>
    <xf numFmtId="0" fontId="21" fillId="23" borderId="0">
      <alignment vertical="center"/>
    </xf>
    <xf numFmtId="0" fontId="20" fillId="24" borderId="0">
      <alignment vertical="center"/>
    </xf>
    <xf numFmtId="0" fontId="20" fillId="25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20" fillId="28" borderId="0">
      <alignment vertical="center"/>
    </xf>
    <xf numFmtId="0" fontId="20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20" fillId="32" borderId="0">
      <alignment vertical="center"/>
    </xf>
  </cellStyleXfs>
  <cellXfs count="20">
    <xf numFmtId="0" fontId="0" fillId="0" borderId="0" xfId="0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1" fillId="0" borderId="4" xfId="0" applyFont="1" applyBorder="1" applyAlignment="1">
      <alignment vertical="center"/>
    </xf>
    <xf numFmtId="0" fontId="2" fillId="0" borderId="4" xfId="0" applyFont="1" applyBorder="1" applyAlignment="1">
      <alignment vertical="center"/>
    </xf>
    <xf numFmtId="31" fontId="0" fillId="0" borderId="0" xfId="0" applyNumberFormat="1" applyAlignment="1">
      <alignment vertical="center"/>
    </xf>
    <xf numFmtId="176" fontId="0" fillId="0" borderId="0" xfId="0" applyNumberFormat="1" applyAlignment="1">
      <alignment vertical="center"/>
    </xf>
    <xf numFmtId="0" fontId="0" fillId="0" borderId="4" xfId="0" applyFont="1" applyBorder="1" applyAlignment="1">
      <alignment vertical="center"/>
    </xf>
    <xf numFmtId="0" fontId="0" fillId="0" borderId="0" xfId="0" applyBorder="1" applyAlignment="1">
      <alignment vertical="center"/>
    </xf>
    <xf numFmtId="176" fontId="0" fillId="0" borderId="4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T38"/>
  <sheetViews>
    <sheetView zoomScale="145" zoomScaleNormal="145" topLeftCell="B1" workbookViewId="0">
      <selection activeCell="F37" sqref="F37"/>
    </sheetView>
  </sheetViews>
  <sheetFormatPr defaultColWidth="9" defaultRowHeight="14.4"/>
  <cols>
    <col min="3" max="3" width="20.3518518518519" customWidth="1"/>
    <col min="6" max="6" width="11.712962962963" customWidth="1"/>
    <col min="10" max="10" width="9.37962962962963"/>
    <col min="17" max="17" width="9.37962962962963"/>
  </cols>
  <sheetData>
    <row r="2" spans="1:19">
      <c r="F2" s="4" t="s">
        <v>0</v>
      </c>
      <c r="G2" s="4"/>
      <c r="I2" s="5"/>
      <c r="J2" s="5" t="s">
        <v>1</v>
      </c>
      <c r="K2" s="5" t="s">
        <v>2</v>
      </c>
    </row>
    <row r="3" spans="1:19">
      <c r="C3" s="15" t="s">
        <v>3</v>
      </c>
      <c r="D3" s="16"/>
      <c r="F3" s="5" t="s">
        <v>4</v>
      </c>
      <c r="G3" s="5">
        <v>3</v>
      </c>
      <c r="I3" s="5" t="s">
        <v>5</v>
      </c>
      <c r="J3" s="5">
        <v>8900</v>
      </c>
      <c r="K3" s="5" t="s">
        <v>6</v>
      </c>
    </row>
    <row r="4" spans="1:19">
      <c r="C4" s="17"/>
      <c r="D4" s="18"/>
      <c r="F4" s="5" t="s">
        <v>7</v>
      </c>
      <c r="G4" s="5">
        <v>2</v>
      </c>
    </row>
    <row r="5" spans="1:19">
      <c r="C5" s="5" t="s">
        <v>8</v>
      </c>
      <c r="D5" s="5">
        <v>35</v>
      </c>
      <c r="F5" s="5" t="s">
        <v>9</v>
      </c>
      <c r="G5" s="5">
        <v>78</v>
      </c>
    </row>
    <row r="6" spans="1:19">
      <c r="C6" s="5" t="s">
        <v>10</v>
      </c>
      <c r="D6" s="5">
        <v>27</v>
      </c>
    </row>
    <row r="7" spans="1:19">
      <c r="C7" s="5" t="s">
        <v>11</v>
      </c>
      <c r="D7" s="5">
        <v>10</v>
      </c>
    </row>
    <row r="10" spans="1:19">
      <c r="C10" s="5" t="s">
        <v>12</v>
      </c>
      <c r="D10" s="19" t="s">
        <v>13</v>
      </c>
      <c r="E10" s="19"/>
      <c r="F10" s="19"/>
    </row>
    <row r="11" spans="1:19">
      <c r="C11" s="5" t="s">
        <v>12</v>
      </c>
      <c r="D11" s="4">
        <f>SUM(D6*2+D7+G3*2)</f>
        <v>70</v>
      </c>
      <c r="E11" s="4"/>
      <c r="F11" s="4"/>
    </row>
    <row r="12" spans="1:19">
      <c r="A12" s="13" t="s">
        <v>14</v>
      </c>
      <c r="C12" s="5" t="s">
        <v>12</v>
      </c>
      <c r="D12" s="4">
        <f>SUM(D11/100)</f>
        <v>0.7</v>
      </c>
      <c r="E12" s="4"/>
      <c r="F12" s="4"/>
    </row>
    <row r="13" spans="1:19">
      <c r="I13" s="1" t="s">
        <v>15</v>
      </c>
      <c r="J13" s="2"/>
      <c r="K13" s="2"/>
      <c r="L13" s="3"/>
      <c r="P13" s="4" t="s">
        <v>16</v>
      </c>
      <c r="Q13" s="4"/>
      <c r="R13" s="4"/>
      <c r="S13" s="4"/>
    </row>
    <row r="14" spans="1:19">
      <c r="I14" s="5" t="s">
        <v>17</v>
      </c>
      <c r="J14" s="6">
        <v>5</v>
      </c>
      <c r="K14" s="5" t="s">
        <v>18</v>
      </c>
      <c r="L14" s="5"/>
      <c r="P14" s="5" t="s">
        <v>17</v>
      </c>
      <c r="Q14" s="7">
        <v>35</v>
      </c>
      <c r="R14" s="5" t="s">
        <v>18</v>
      </c>
      <c r="S14" s="5"/>
    </row>
    <row r="15" spans="1:19">
      <c r="C15" s="5" t="s">
        <v>19</v>
      </c>
      <c r="D15" s="19" t="s">
        <v>20</v>
      </c>
      <c r="E15" s="19"/>
      <c r="F15" s="19"/>
      <c r="I15" s="5" t="s">
        <v>21</v>
      </c>
      <c r="J15" s="6">
        <v>38</v>
      </c>
      <c r="K15" s="5" t="s">
        <v>18</v>
      </c>
      <c r="L15" s="5"/>
      <c r="P15" s="5" t="s">
        <v>22</v>
      </c>
      <c r="Q15" s="7">
        <v>27</v>
      </c>
      <c r="R15" s="5" t="s">
        <v>18</v>
      </c>
      <c r="S15" s="5"/>
    </row>
    <row r="16" spans="1:19">
      <c r="C16" s="5" t="s">
        <v>19</v>
      </c>
      <c r="D16" s="4">
        <f>SUM(D5+D7+G4)</f>
        <v>47</v>
      </c>
      <c r="E16" s="4"/>
      <c r="F16" s="4"/>
      <c r="I16" s="5" t="s">
        <v>23</v>
      </c>
      <c r="J16" s="6">
        <v>70</v>
      </c>
      <c r="K16" s="5" t="s">
        <v>24</v>
      </c>
      <c r="L16" s="5"/>
      <c r="P16" s="5" t="s">
        <v>11</v>
      </c>
      <c r="Q16" s="7">
        <v>10</v>
      </c>
      <c r="R16" s="5" t="s">
        <v>18</v>
      </c>
      <c r="S16" s="5"/>
    </row>
    <row r="17" spans="1:19">
      <c r="A17" s="13" t="s">
        <v>14</v>
      </c>
      <c r="C17" s="5" t="s">
        <v>19</v>
      </c>
      <c r="D17" s="4">
        <f>SUM(D16/100)</f>
        <v>0.47</v>
      </c>
      <c r="E17" s="4"/>
      <c r="F17" s="4"/>
      <c r="I17" s="5" t="s">
        <v>25</v>
      </c>
      <c r="J17" s="6">
        <v>9000</v>
      </c>
      <c r="K17" s="5" t="s">
        <v>1</v>
      </c>
      <c r="L17" s="5" t="s">
        <v>6</v>
      </c>
      <c r="P17" s="5" t="s">
        <v>23</v>
      </c>
      <c r="Q17" s="7">
        <v>78</v>
      </c>
      <c r="R17" s="5" t="s">
        <v>24</v>
      </c>
      <c r="S17" s="5"/>
    </row>
    <row r="18" spans="1:19">
      <c r="I18" s="5" t="s">
        <v>26</v>
      </c>
      <c r="J18" s="6">
        <v>2</v>
      </c>
      <c r="K18" s="5" t="s">
        <v>27</v>
      </c>
      <c r="L18" s="5"/>
      <c r="P18" s="5" t="s">
        <v>28</v>
      </c>
      <c r="Q18" s="7">
        <v>8900</v>
      </c>
      <c r="R18" s="5" t="s">
        <v>1</v>
      </c>
      <c r="S18" s="5" t="s">
        <v>6</v>
      </c>
    </row>
    <row r="19" spans="1:19">
      <c r="P19" s="5" t="s">
        <v>4</v>
      </c>
      <c r="Q19" s="5">
        <v>3</v>
      </c>
      <c r="R19" s="5" t="s">
        <v>18</v>
      </c>
      <c r="S19" s="5"/>
    </row>
    <row r="20" spans="1:19">
      <c r="C20" s="5" t="s">
        <v>29</v>
      </c>
      <c r="D20" s="5" t="s">
        <v>30</v>
      </c>
      <c r="I20" s="5" t="s">
        <v>17</v>
      </c>
      <c r="J20" s="10">
        <f>SUM(J14/100)</f>
        <v>0.05</v>
      </c>
      <c r="K20" s="5" t="s">
        <v>31</v>
      </c>
      <c r="L20" s="5"/>
      <c r="P20" s="5" t="s">
        <v>7</v>
      </c>
      <c r="Q20" s="5">
        <v>2</v>
      </c>
      <c r="R20" s="5" t="s">
        <v>18</v>
      </c>
      <c r="S20" s="5"/>
    </row>
    <row r="21" spans="1:19">
      <c r="C21" s="5" t="s">
        <v>29</v>
      </c>
      <c r="D21" s="5">
        <f>SUM(D12*D17)</f>
        <v>0.329</v>
      </c>
      <c r="I21" s="5" t="s">
        <v>21</v>
      </c>
      <c r="J21" s="10">
        <f>SUM(J15/100)</f>
        <v>0.38</v>
      </c>
      <c r="K21" s="5" t="s">
        <v>31</v>
      </c>
      <c r="L21" s="5"/>
    </row>
    <row r="22" spans="1:19">
      <c r="I22" s="5" t="s">
        <v>23</v>
      </c>
      <c r="J22" s="10">
        <f>SUM(J16/1000000)</f>
        <v>7e-5</v>
      </c>
      <c r="K22" s="5" t="s">
        <v>6</v>
      </c>
      <c r="L22" s="5"/>
    </row>
    <row r="23" spans="1:19">
      <c r="C23" s="5" t="s">
        <v>32</v>
      </c>
      <c r="D23" s="4" t="s">
        <v>33</v>
      </c>
      <c r="E23" s="4"/>
      <c r="I23" s="5" t="s">
        <v>25</v>
      </c>
      <c r="J23" s="10">
        <f>SUM(J17)</f>
        <v>9000</v>
      </c>
      <c r="K23" s="5" t="s">
        <v>1</v>
      </c>
      <c r="L23" s="5" t="s">
        <v>6</v>
      </c>
      <c r="P23" s="5" t="s">
        <v>17</v>
      </c>
      <c r="Q23" s="5">
        <f>SUM(Q14/100)</f>
        <v>0.35</v>
      </c>
      <c r="R23" s="5" t="s">
        <v>31</v>
      </c>
      <c r="S23" s="5"/>
    </row>
    <row r="24" spans="1:19">
      <c r="C24" s="5" t="s">
        <v>32</v>
      </c>
      <c r="D24" s="4">
        <f>SUM(D21*G5)</f>
        <v>25.662</v>
      </c>
      <c r="E24" s="4"/>
      <c r="I24" s="5" t="s">
        <v>26</v>
      </c>
      <c r="J24" s="10">
        <f>SUM(J18)</f>
        <v>2</v>
      </c>
      <c r="K24" s="5" t="s">
        <v>27</v>
      </c>
      <c r="L24" s="5"/>
      <c r="P24" s="5" t="s">
        <v>22</v>
      </c>
      <c r="Q24" s="5">
        <f>SUM(Q15/100)</f>
        <v>0.27</v>
      </c>
      <c r="R24" s="5" t="s">
        <v>31</v>
      </c>
      <c r="S24" s="5"/>
    </row>
    <row r="25" spans="1:19">
      <c r="A25" s="13" t="s">
        <v>34</v>
      </c>
      <c r="B25" s="13"/>
      <c r="C25" s="5" t="s">
        <v>35</v>
      </c>
      <c r="D25" s="1">
        <f>SUM(D24/1000)</f>
        <v>0.025662</v>
      </c>
      <c r="E25" s="3"/>
      <c r="I25" s="11"/>
      <c r="P25" s="5" t="s">
        <v>11</v>
      </c>
      <c r="Q25" s="5">
        <f>SUM(Q16/100)</f>
        <v>0.1</v>
      </c>
      <c r="R25" s="5" t="s">
        <v>31</v>
      </c>
      <c r="S25" s="5"/>
    </row>
    <row r="26" spans="1:19">
      <c r="I26" s="4" t="s">
        <v>36</v>
      </c>
      <c r="J26" s="4"/>
      <c r="K26" s="4"/>
      <c r="L26" s="4"/>
      <c r="P26" s="5" t="s">
        <v>23</v>
      </c>
      <c r="Q26" s="5">
        <f>SUM(Q17/1000000)</f>
        <v>7.8e-5</v>
      </c>
      <c r="R26" s="5" t="s">
        <v>6</v>
      </c>
      <c r="S26" s="5"/>
    </row>
    <row r="27" spans="1:19">
      <c r="I27" s="4">
        <f>SUM(J20*J21*J22*J23*J24)</f>
        <v>0.02394</v>
      </c>
      <c r="J27" s="4"/>
      <c r="K27" s="4"/>
      <c r="L27" s="4"/>
      <c r="P27" s="5" t="s">
        <v>28</v>
      </c>
      <c r="Q27" s="5">
        <v>8900</v>
      </c>
      <c r="R27" s="5" t="s">
        <v>1</v>
      </c>
      <c r="S27" s="5" t="s">
        <v>6</v>
      </c>
    </row>
    <row r="28" spans="1:19">
      <c r="P28" s="5" t="s">
        <v>4</v>
      </c>
      <c r="Q28" s="5">
        <f>SUM(Q19/100)</f>
        <v>0.03</v>
      </c>
      <c r="R28" s="5" t="s">
        <v>31</v>
      </c>
      <c r="S28" s="5"/>
    </row>
    <row r="29" spans="1:19">
      <c r="A29" s="13" t="s">
        <v>37</v>
      </c>
      <c r="B29" s="13"/>
      <c r="C29" s="5" t="s">
        <v>38</v>
      </c>
      <c r="D29" s="4" t="s">
        <v>39</v>
      </c>
      <c r="E29" s="4"/>
      <c r="F29" s="4"/>
      <c r="P29" s="5" t="s">
        <v>7</v>
      </c>
      <c r="Q29" s="5">
        <f>SUM(Q20/100)</f>
        <v>0.02</v>
      </c>
      <c r="R29" s="5" t="s">
        <v>31</v>
      </c>
      <c r="S29" s="5"/>
    </row>
    <row r="30" spans="1:19">
      <c r="C30" s="5" t="s">
        <v>38</v>
      </c>
      <c r="D30" s="4">
        <f>SUM(D25*J3/1000)</f>
        <v>0.2283918</v>
      </c>
      <c r="E30" s="4"/>
      <c r="F30" s="4"/>
    </row>
    <row r="31" spans="1:19">
      <c r="P31" s="13" t="s">
        <v>40</v>
      </c>
      <c r="Q31" s="13"/>
      <c r="R31" s="13"/>
      <c r="S31" s="13"/>
    </row>
    <row r="32" spans="1:19">
      <c r="P32" s="13" t="s">
        <v>41</v>
      </c>
      <c r="Q32" s="13"/>
      <c r="R32" s="13"/>
      <c r="S32" s="13"/>
    </row>
    <row r="33" spans="15:20">
      <c r="P33" s="13" t="s">
        <v>42</v>
      </c>
      <c r="Q33" s="13"/>
      <c r="R33" s="13"/>
      <c r="S33" s="13"/>
    </row>
    <row r="34" spans="15:20">
      <c r="P34" s="13" t="s">
        <v>43</v>
      </c>
      <c r="Q34" s="13"/>
      <c r="R34" s="13"/>
      <c r="S34" s="13"/>
    </row>
    <row r="35" spans="15:20">
      <c r="P35" s="13" t="s">
        <v>44</v>
      </c>
      <c r="Q35" s="13"/>
      <c r="R35" s="13"/>
      <c r="S35" s="13"/>
    </row>
    <row r="37" spans="15:20">
      <c r="O37" s="13" t="s">
        <v>45</v>
      </c>
      <c r="P37" s="13"/>
      <c r="Q37" s="13"/>
      <c r="R37" s="13"/>
      <c r="S37" s="13"/>
      <c r="T37" s="13"/>
    </row>
    <row r="38" spans="15:20">
      <c r="O38" s="13">
        <f>SUM((Q24*2+Q25+Q28*2)*(Q23+Q25+Q29)*Q26*Q27)</f>
        <v>0.2283918</v>
      </c>
      <c r="P38" s="13"/>
      <c r="Q38" s="13"/>
      <c r="R38" s="13"/>
      <c r="S38" s="13"/>
      <c r="T38" s="13"/>
    </row>
  </sheetData>
  <mergeCells count="28">
    <mergeCell ref="F2:G2"/>
    <mergeCell ref="D10:F10"/>
    <mergeCell ref="D11:F11"/>
    <mergeCell ref="A12:B12"/>
    <mergeCell ref="D12:F12"/>
    <mergeCell ref="I13:L13"/>
    <mergeCell ref="P13:S13"/>
    <mergeCell ref="D15:F15"/>
    <mergeCell ref="D16:F16"/>
    <mergeCell ref="A17:B17"/>
    <mergeCell ref="D17:F17"/>
    <mergeCell ref="D23:E23"/>
    <mergeCell ref="D24:E24"/>
    <mergeCell ref="A25:B25"/>
    <mergeCell ref="D25:E25"/>
    <mergeCell ref="I26:L26"/>
    <mergeCell ref="I27:L27"/>
    <mergeCell ref="A29:B29"/>
    <mergeCell ref="D29:F29"/>
    <mergeCell ref="D30:F30"/>
    <mergeCell ref="P31:S31"/>
    <mergeCell ref="P32:S32"/>
    <mergeCell ref="P33:S33"/>
    <mergeCell ref="P34:S34"/>
    <mergeCell ref="P35:S35"/>
    <mergeCell ref="O37:T37"/>
    <mergeCell ref="O38:T38"/>
    <mergeCell ref="C3:D4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15:P40"/>
  <sheetViews>
    <sheetView zoomScale="160" zoomScaleNormal="160" topLeftCell="A11" workbookViewId="0">
      <selection activeCell="E15" sqref="E15:P40"/>
    </sheetView>
  </sheetViews>
  <sheetFormatPr defaultColWidth="9" defaultRowHeight="14.4"/>
  <sheetData>
    <row r="15" spans="5:15">
      <c r="E15" s="1" t="s">
        <v>15</v>
      </c>
      <c r="F15" s="2"/>
      <c r="G15" s="2"/>
      <c r="H15" s="3"/>
      <c r="L15" s="4" t="s">
        <v>16</v>
      </c>
      <c r="M15" s="4"/>
      <c r="N15" s="4"/>
      <c r="O15" s="4"/>
    </row>
    <row r="16" spans="5:15">
      <c r="E16" s="5" t="s">
        <v>17</v>
      </c>
      <c r="F16" s="6">
        <v>5</v>
      </c>
      <c r="G16" s="5" t="s">
        <v>18</v>
      </c>
      <c r="H16" s="5"/>
      <c r="L16" s="5" t="s">
        <v>17</v>
      </c>
      <c r="M16" s="7">
        <v>35</v>
      </c>
      <c r="N16" s="5" t="s">
        <v>18</v>
      </c>
      <c r="O16" s="5"/>
    </row>
    <row r="17" spans="5:15">
      <c r="E17" s="5" t="s">
        <v>21</v>
      </c>
      <c r="F17" s="6">
        <v>38</v>
      </c>
      <c r="G17" s="5" t="s">
        <v>18</v>
      </c>
      <c r="H17" s="5"/>
      <c r="L17" s="5" t="s">
        <v>22</v>
      </c>
      <c r="M17" s="7">
        <v>27</v>
      </c>
      <c r="N17" s="5" t="s">
        <v>18</v>
      </c>
      <c r="O17" s="5"/>
    </row>
    <row r="18" spans="5:15">
      <c r="E18" s="5" t="s">
        <v>23</v>
      </c>
      <c r="F18" s="6">
        <v>70</v>
      </c>
      <c r="G18" s="5" t="s">
        <v>24</v>
      </c>
      <c r="H18" s="5"/>
      <c r="L18" s="5" t="s">
        <v>11</v>
      </c>
      <c r="M18" s="7">
        <v>10</v>
      </c>
      <c r="N18" s="5" t="s">
        <v>18</v>
      </c>
      <c r="O18" s="5"/>
    </row>
    <row r="19" spans="5:15">
      <c r="E19" s="5" t="s">
        <v>25</v>
      </c>
      <c r="F19" s="6">
        <v>9000</v>
      </c>
      <c r="G19" s="5" t="s">
        <v>1</v>
      </c>
      <c r="H19" s="5" t="s">
        <v>6</v>
      </c>
      <c r="L19" s="5" t="s">
        <v>23</v>
      </c>
      <c r="M19" s="7">
        <v>78</v>
      </c>
      <c r="N19" s="5" t="s">
        <v>24</v>
      </c>
      <c r="O19" s="5"/>
    </row>
    <row r="20" spans="5:15">
      <c r="E20" s="5" t="s">
        <v>26</v>
      </c>
      <c r="F20" s="6">
        <v>2</v>
      </c>
      <c r="G20" s="5" t="s">
        <v>27</v>
      </c>
      <c r="H20" s="5"/>
      <c r="L20" s="5" t="s">
        <v>28</v>
      </c>
      <c r="M20" s="7">
        <v>8900</v>
      </c>
      <c r="N20" s="5" t="s">
        <v>1</v>
      </c>
      <c r="O20" s="5" t="s">
        <v>6</v>
      </c>
    </row>
    <row r="21" spans="5:15">
      <c r="L21" s="5" t="s">
        <v>4</v>
      </c>
      <c r="M21" s="5">
        <v>3</v>
      </c>
      <c r="N21" s="5" t="s">
        <v>18</v>
      </c>
      <c r="O21" s="5"/>
    </row>
    <row r="22" spans="5:15">
      <c r="E22" s="5" t="s">
        <v>17</v>
      </c>
      <c r="F22" s="10">
        <f>SUM(F16/100)</f>
        <v>0.05</v>
      </c>
      <c r="G22" s="5" t="s">
        <v>31</v>
      </c>
      <c r="H22" s="5"/>
      <c r="L22" s="5" t="s">
        <v>7</v>
      </c>
      <c r="M22" s="5">
        <v>2</v>
      </c>
      <c r="N22" s="5" t="s">
        <v>18</v>
      </c>
      <c r="O22" s="5"/>
    </row>
    <row r="23" spans="5:15">
      <c r="E23" s="5" t="s">
        <v>21</v>
      </c>
      <c r="F23" s="10">
        <f>SUM(F17/100)</f>
        <v>0.38</v>
      </c>
      <c r="G23" s="5" t="s">
        <v>31</v>
      </c>
      <c r="H23" s="5"/>
    </row>
    <row r="24" spans="5:15">
      <c r="E24" s="5" t="s">
        <v>23</v>
      </c>
      <c r="F24" s="10">
        <f>SUM(F18/1000000)</f>
        <v>7e-5</v>
      </c>
      <c r="G24" s="5" t="s">
        <v>6</v>
      </c>
      <c r="H24" s="5"/>
    </row>
    <row r="25" spans="5:15">
      <c r="E25" s="5" t="s">
        <v>25</v>
      </c>
      <c r="F25" s="10">
        <f>SUM(F19)</f>
        <v>9000</v>
      </c>
      <c r="G25" s="5" t="s">
        <v>1</v>
      </c>
      <c r="H25" s="5" t="s">
        <v>6</v>
      </c>
      <c r="L25" s="5" t="s">
        <v>17</v>
      </c>
      <c r="M25" s="5">
        <f t="shared" ref="M25:M27" si="0">SUM(M16/100)</f>
        <v>0.35</v>
      </c>
      <c r="N25" s="5" t="s">
        <v>31</v>
      </c>
      <c r="O25" s="5"/>
    </row>
    <row r="26" spans="5:15">
      <c r="E26" s="5" t="s">
        <v>26</v>
      </c>
      <c r="F26" s="10">
        <f>SUM(F20)</f>
        <v>2</v>
      </c>
      <c r="G26" s="5" t="s">
        <v>27</v>
      </c>
      <c r="H26" s="5"/>
      <c r="L26" s="5" t="s">
        <v>22</v>
      </c>
      <c r="M26" s="5">
        <f t="shared" si="0"/>
        <v>0.27</v>
      </c>
      <c r="N26" s="5" t="s">
        <v>31</v>
      </c>
      <c r="O26" s="5"/>
    </row>
    <row r="27" spans="5:15">
      <c r="E27" s="11"/>
      <c r="L27" s="5" t="s">
        <v>11</v>
      </c>
      <c r="M27" s="5">
        <f t="shared" si="0"/>
        <v>0.1</v>
      </c>
      <c r="N27" s="5" t="s">
        <v>31</v>
      </c>
      <c r="O27" s="5"/>
    </row>
    <row r="28" spans="5:15">
      <c r="E28" s="4" t="s">
        <v>36</v>
      </c>
      <c r="F28" s="4"/>
      <c r="G28" s="4"/>
      <c r="H28" s="4"/>
      <c r="L28" s="5" t="s">
        <v>23</v>
      </c>
      <c r="M28" s="5">
        <f>SUM(M19/1000000)</f>
        <v>7.8e-5</v>
      </c>
      <c r="N28" s="5" t="s">
        <v>6</v>
      </c>
      <c r="O28" s="5"/>
    </row>
    <row r="29" spans="5:15">
      <c r="E29" s="12">
        <f>SUM(F22*F23*F24*F25*F26)</f>
        <v>0.02394</v>
      </c>
      <c r="F29" s="12"/>
      <c r="G29" s="12"/>
      <c r="H29" s="12"/>
      <c r="L29" s="5" t="s">
        <v>28</v>
      </c>
      <c r="M29" s="5">
        <v>8900</v>
      </c>
      <c r="N29" s="5" t="s">
        <v>1</v>
      </c>
      <c r="O29" s="5" t="s">
        <v>6</v>
      </c>
    </row>
    <row r="30" spans="5:15">
      <c r="L30" s="5" t="s">
        <v>4</v>
      </c>
      <c r="M30" s="5">
        <f>SUM(M21/100)</f>
        <v>0.03</v>
      </c>
      <c r="N30" s="5" t="s">
        <v>31</v>
      </c>
      <c r="O30" s="5"/>
    </row>
    <row r="31" spans="5:15">
      <c r="E31" s="13"/>
      <c r="F31" s="13"/>
      <c r="G31" s="13"/>
      <c r="H31" s="13"/>
      <c r="L31" s="5" t="s">
        <v>7</v>
      </c>
      <c r="M31" s="5">
        <f>SUM(M22/100)</f>
        <v>0.02</v>
      </c>
      <c r="N31" s="5" t="s">
        <v>31</v>
      </c>
      <c r="O31" s="5"/>
    </row>
    <row r="33" spans="11:16">
      <c r="L33" s="13" t="s">
        <v>40</v>
      </c>
      <c r="M33" s="13"/>
      <c r="N33" s="13"/>
      <c r="O33" s="13"/>
    </row>
    <row r="34" spans="11:16">
      <c r="L34" s="13" t="s">
        <v>41</v>
      </c>
      <c r="M34" s="13"/>
      <c r="N34" s="13"/>
      <c r="O34" s="13"/>
    </row>
    <row r="35" spans="11:16">
      <c r="L35" s="13" t="s">
        <v>42</v>
      </c>
      <c r="M35" s="13"/>
      <c r="N35" s="13"/>
      <c r="O35" s="13"/>
    </row>
    <row r="36" spans="11:16">
      <c r="L36" s="13" t="s">
        <v>43</v>
      </c>
      <c r="M36" s="13"/>
      <c r="N36" s="13"/>
      <c r="O36" s="13"/>
    </row>
    <row r="37" spans="11:16">
      <c r="L37" s="13" t="s">
        <v>44</v>
      </c>
      <c r="M37" s="13"/>
      <c r="N37" s="13"/>
      <c r="O37" s="13"/>
    </row>
    <row r="39" spans="11:16">
      <c r="K39" s="13" t="s">
        <v>45</v>
      </c>
      <c r="L39" s="13"/>
      <c r="M39" s="13"/>
      <c r="N39" s="13"/>
      <c r="O39" s="13"/>
      <c r="P39" s="13"/>
    </row>
    <row r="40" spans="11:16">
      <c r="K40" s="14">
        <f>SUM((M26*2+M27+M30*2)*(M25+M27+M31)*M28*M29)</f>
        <v>0.2283918</v>
      </c>
      <c r="L40" s="14"/>
      <c r="M40" s="14"/>
      <c r="N40" s="14"/>
      <c r="O40" s="14"/>
      <c r="P40" s="14"/>
    </row>
  </sheetData>
  <mergeCells count="12">
    <mergeCell ref="E15:H15"/>
    <mergeCell ref="L15:O15"/>
    <mergeCell ref="E28:H28"/>
    <mergeCell ref="E29:H29"/>
    <mergeCell ref="E31:H31"/>
    <mergeCell ref="L33:O33"/>
    <mergeCell ref="L34:O34"/>
    <mergeCell ref="L35:O35"/>
    <mergeCell ref="L36:O36"/>
    <mergeCell ref="L37:O37"/>
    <mergeCell ref="K39:P39"/>
    <mergeCell ref="K40:P40"/>
  </mergeCell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T28"/>
  <sheetViews>
    <sheetView tabSelected="1" zoomScale="160" zoomScaleNormal="160" workbookViewId="0">
      <selection activeCell="T30" sqref="T30"/>
    </sheetView>
  </sheetViews>
  <sheetFormatPr defaultColWidth="9" defaultRowHeight="14.4"/>
  <cols>
    <col min="2" max="2" width="14.0185185185185" customWidth="1"/>
    <col min="3" max="3" width="11.3055555555556" customWidth="1"/>
    <col min="4" max="4" width="7.41666666666667" customWidth="1"/>
    <col min="7" max="8" width="9" customWidth="1"/>
    <col min="9" max="9" width="19.787037037037" customWidth="1"/>
    <col min="17" max="17" width="17.9814814814815" customWidth="1"/>
  </cols>
  <sheetData>
    <row r="3" spans="1:19">
      <c r="K3" s="1" t="s">
        <v>15</v>
      </c>
      <c r="L3" s="2"/>
      <c r="M3" s="2"/>
      <c r="N3" s="3"/>
      <c r="P3" s="4" t="s">
        <v>16</v>
      </c>
      <c r="Q3" s="4"/>
      <c r="R3" s="4"/>
      <c r="S3" s="4"/>
    </row>
    <row r="4" spans="1:19">
      <c r="K4" s="5" t="s">
        <v>17</v>
      </c>
      <c r="L4" s="6">
        <v>5</v>
      </c>
      <c r="M4" s="5" t="s">
        <v>18</v>
      </c>
      <c r="N4" s="5"/>
      <c r="P4" s="5" t="s">
        <v>17</v>
      </c>
      <c r="Q4" s="7">
        <v>35</v>
      </c>
      <c r="R4" s="5" t="s">
        <v>18</v>
      </c>
      <c r="S4" s="5"/>
    </row>
    <row r="5" spans="1:19">
      <c r="K5" s="5" t="s">
        <v>21</v>
      </c>
      <c r="L5" s="6">
        <v>38</v>
      </c>
      <c r="M5" s="5" t="s">
        <v>18</v>
      </c>
      <c r="N5" s="5"/>
      <c r="P5" s="5" t="s">
        <v>22</v>
      </c>
      <c r="Q5" s="7">
        <v>27</v>
      </c>
      <c r="R5" s="5" t="s">
        <v>18</v>
      </c>
      <c r="S5" s="5"/>
    </row>
    <row r="6" spans="1:19">
      <c r="B6" t="s">
        <v>46</v>
      </c>
      <c r="C6" t="s">
        <v>47</v>
      </c>
      <c r="D6" t="s">
        <v>48</v>
      </c>
      <c r="E6" t="s">
        <v>49</v>
      </c>
      <c r="F6" t="s">
        <v>50</v>
      </c>
      <c r="G6" t="s">
        <v>51</v>
      </c>
      <c r="H6" t="s">
        <v>52</v>
      </c>
      <c r="I6" t="s">
        <v>53</v>
      </c>
      <c r="K6" s="5" t="s">
        <v>23</v>
      </c>
      <c r="L6" s="6">
        <v>70</v>
      </c>
      <c r="M6" s="5" t="s">
        <v>24</v>
      </c>
      <c r="N6" s="5"/>
      <c r="P6" s="5" t="s">
        <v>11</v>
      </c>
      <c r="Q6" s="7">
        <v>10</v>
      </c>
      <c r="R6" s="5" t="s">
        <v>18</v>
      </c>
      <c r="S6" s="5"/>
    </row>
    <row r="7" spans="1:19">
      <c r="A7" t="s">
        <v>54</v>
      </c>
      <c r="B7" s="8">
        <v>46072</v>
      </c>
      <c r="C7" t="s">
        <v>55</v>
      </c>
      <c r="D7" t="s">
        <v>56</v>
      </c>
      <c r="E7">
        <v>20000</v>
      </c>
      <c r="F7">
        <v>0.3</v>
      </c>
      <c r="G7" s="9"/>
      <c r="K7" s="5" t="s">
        <v>25</v>
      </c>
      <c r="L7" s="6">
        <v>9000</v>
      </c>
      <c r="M7" s="5" t="s">
        <v>1</v>
      </c>
      <c r="N7" s="5" t="s">
        <v>6</v>
      </c>
      <c r="P7" s="5" t="s">
        <v>23</v>
      </c>
      <c r="Q7" s="7">
        <v>78</v>
      </c>
      <c r="R7" s="5" t="s">
        <v>24</v>
      </c>
      <c r="S7" s="5"/>
    </row>
    <row r="8" spans="1:19">
      <c r="B8" s="8">
        <v>46072</v>
      </c>
      <c r="C8" t="s">
        <v>55</v>
      </c>
      <c r="D8" t="s">
        <v>57</v>
      </c>
      <c r="E8">
        <v>8000</v>
      </c>
      <c r="G8" s="9"/>
      <c r="K8" s="5" t="s">
        <v>26</v>
      </c>
      <c r="L8" s="6">
        <v>2</v>
      </c>
      <c r="M8" s="5" t="s">
        <v>27</v>
      </c>
      <c r="N8" s="5"/>
      <c r="P8" s="5" t="s">
        <v>28</v>
      </c>
      <c r="Q8" s="7">
        <v>8900</v>
      </c>
      <c r="R8" s="5" t="s">
        <v>1</v>
      </c>
      <c r="S8" s="5" t="s">
        <v>6</v>
      </c>
    </row>
    <row r="9" spans="1:19">
      <c r="B9" s="8">
        <v>46074</v>
      </c>
      <c r="G9" s="9"/>
      <c r="P9" s="5" t="s">
        <v>4</v>
      </c>
      <c r="Q9" s="5">
        <v>3</v>
      </c>
      <c r="R9" s="5" t="s">
        <v>18</v>
      </c>
      <c r="S9" s="5"/>
    </row>
    <row r="10" spans="1:19">
      <c r="B10" s="8">
        <v>46075</v>
      </c>
      <c r="G10" s="9"/>
      <c r="K10" s="5" t="s">
        <v>17</v>
      </c>
      <c r="L10" s="10">
        <f>SUM(L4/100)</f>
        <v>0.05</v>
      </c>
      <c r="M10" s="5" t="s">
        <v>31</v>
      </c>
      <c r="N10" s="5"/>
      <c r="P10" s="5" t="s">
        <v>7</v>
      </c>
      <c r="Q10" s="5">
        <v>2</v>
      </c>
      <c r="R10" s="5" t="s">
        <v>18</v>
      </c>
      <c r="S10" s="5"/>
    </row>
    <row r="11" spans="1:19">
      <c r="B11" s="8">
        <v>46076</v>
      </c>
      <c r="G11" s="9"/>
      <c r="K11" s="5" t="s">
        <v>21</v>
      </c>
      <c r="L11" s="10">
        <f>SUM(L5/100)</f>
        <v>0.38</v>
      </c>
      <c r="M11" s="5" t="s">
        <v>31</v>
      </c>
      <c r="N11" s="5"/>
    </row>
    <row r="12" spans="1:19">
      <c r="B12" s="8">
        <v>46077</v>
      </c>
      <c r="G12" s="9"/>
      <c r="K12" s="5" t="s">
        <v>23</v>
      </c>
      <c r="L12" s="10">
        <f>SUM(L6/1000000)</f>
        <v>7e-5</v>
      </c>
      <c r="M12" s="5" t="s">
        <v>6</v>
      </c>
      <c r="N12" s="5"/>
    </row>
    <row r="13" spans="1:19">
      <c r="B13" s="8">
        <v>46078</v>
      </c>
      <c r="G13" s="9"/>
      <c r="K13" s="5" t="s">
        <v>25</v>
      </c>
      <c r="L13" s="10">
        <f>SUM(L7)</f>
        <v>9000</v>
      </c>
      <c r="M13" s="5" t="s">
        <v>1</v>
      </c>
      <c r="N13" s="5" t="s">
        <v>6</v>
      </c>
      <c r="P13" s="5" t="s">
        <v>17</v>
      </c>
      <c r="Q13" s="5">
        <f t="shared" ref="Q13:Q15" si="0">SUM(Q4/100)</f>
        <v>0.35</v>
      </c>
      <c r="R13" s="5" t="s">
        <v>31</v>
      </c>
      <c r="S13" s="5"/>
    </row>
    <row r="14" spans="1:19">
      <c r="B14" s="8">
        <v>46079</v>
      </c>
      <c r="G14" s="9"/>
      <c r="K14" s="5" t="s">
        <v>26</v>
      </c>
      <c r="L14" s="10">
        <f>SUM(L8)</f>
        <v>2</v>
      </c>
      <c r="M14" s="5" t="s">
        <v>27</v>
      </c>
      <c r="N14" s="5"/>
      <c r="P14" s="5" t="s">
        <v>22</v>
      </c>
      <c r="Q14" s="5">
        <f t="shared" si="0"/>
        <v>0.27</v>
      </c>
      <c r="R14" s="5" t="s">
        <v>31</v>
      </c>
      <c r="S14" s="5"/>
    </row>
    <row r="15" spans="1:19">
      <c r="B15" s="8">
        <v>46080</v>
      </c>
      <c r="G15" s="9"/>
      <c r="K15" s="11"/>
      <c r="P15" s="5" t="s">
        <v>11</v>
      </c>
      <c r="Q15" s="5">
        <f t="shared" si="0"/>
        <v>0.1</v>
      </c>
      <c r="R15" s="5" t="s">
        <v>31</v>
      </c>
      <c r="S15" s="5"/>
    </row>
    <row r="16" spans="1:19">
      <c r="B16" s="8">
        <v>46081</v>
      </c>
      <c r="G16" s="9"/>
      <c r="K16" s="4" t="s">
        <v>36</v>
      </c>
      <c r="L16" s="4"/>
      <c r="M16" s="4"/>
      <c r="N16" s="4"/>
      <c r="P16" s="5" t="s">
        <v>23</v>
      </c>
      <c r="Q16" s="5">
        <f>SUM(Q7/1000000)</f>
        <v>7.8e-5</v>
      </c>
      <c r="R16" s="5" t="s">
        <v>6</v>
      </c>
      <c r="S16" s="5"/>
    </row>
    <row r="17" spans="2:20">
      <c r="B17" s="8"/>
      <c r="K17" s="12">
        <f>SUM(L10*L11*L12*L13*L14)</f>
        <v>0.02394</v>
      </c>
      <c r="L17" s="12"/>
      <c r="M17" s="12"/>
      <c r="N17" s="12"/>
      <c r="P17" s="5" t="s">
        <v>28</v>
      </c>
      <c r="Q17" s="5">
        <v>8900</v>
      </c>
      <c r="R17" s="5" t="s">
        <v>1</v>
      </c>
      <c r="S17" s="5" t="s">
        <v>6</v>
      </c>
    </row>
    <row r="18" spans="2:20">
      <c r="B18" s="8"/>
      <c r="P18" s="5" t="s">
        <v>4</v>
      </c>
      <c r="Q18" s="5">
        <f>SUM(Q9/100)</f>
        <v>0.03</v>
      </c>
      <c r="R18" s="5" t="s">
        <v>31</v>
      </c>
      <c r="S18" s="5"/>
    </row>
    <row r="19" spans="2:20">
      <c r="B19" s="8"/>
      <c r="K19" s="13"/>
      <c r="L19" s="13"/>
      <c r="M19" s="13"/>
      <c r="N19" s="13"/>
      <c r="P19" s="5" t="s">
        <v>7</v>
      </c>
      <c r="Q19" s="5">
        <f>SUM(Q10/100)</f>
        <v>0.02</v>
      </c>
      <c r="R19" s="5" t="s">
        <v>31</v>
      </c>
      <c r="S19" s="5"/>
    </row>
    <row r="20" spans="2:20">
      <c r="B20" s="8"/>
    </row>
    <row r="21" spans="2:20">
      <c r="B21" s="8"/>
      <c r="P21" s="13" t="s">
        <v>40</v>
      </c>
      <c r="Q21" s="13"/>
      <c r="R21" s="13"/>
      <c r="S21" s="13"/>
    </row>
    <row r="22" spans="2:20">
      <c r="B22" s="8"/>
      <c r="P22" s="13" t="s">
        <v>41</v>
      </c>
      <c r="Q22" s="13"/>
      <c r="R22" s="13"/>
      <c r="S22" s="13"/>
    </row>
    <row r="23" spans="2:20">
      <c r="B23" s="8"/>
      <c r="P23" s="13" t="s">
        <v>42</v>
      </c>
      <c r="Q23" s="13"/>
      <c r="R23" s="13"/>
      <c r="S23" s="13"/>
    </row>
    <row r="24" spans="2:20">
      <c r="B24" s="8"/>
      <c r="P24" s="13" t="s">
        <v>43</v>
      </c>
      <c r="Q24" s="13"/>
      <c r="R24" s="13"/>
      <c r="S24" s="13"/>
    </row>
    <row r="25" spans="2:20">
      <c r="P25" s="13" t="s">
        <v>44</v>
      </c>
      <c r="Q25" s="13"/>
      <c r="R25" s="13"/>
      <c r="S25" s="13"/>
    </row>
    <row r="27" spans="2:20">
      <c r="O27" s="13" t="s">
        <v>45</v>
      </c>
      <c r="P27" s="13"/>
      <c r="Q27" s="13"/>
      <c r="R27" s="13"/>
      <c r="S27" s="13"/>
      <c r="T27" s="13"/>
    </row>
    <row r="28" spans="2:20">
      <c r="O28" s="14">
        <f>SUM((Q14*2+Q15+Q18*2)*(Q13+Q15+Q19)*Q16*Q17)</f>
        <v>0.2283918</v>
      </c>
      <c r="P28" s="14"/>
      <c r="Q28" s="14"/>
      <c r="R28" s="14"/>
      <c r="S28" s="14"/>
      <c r="T28" s="14"/>
    </row>
  </sheetData>
  <mergeCells count="12">
    <mergeCell ref="K3:N3"/>
    <mergeCell ref="P3:S3"/>
    <mergeCell ref="K16:N16"/>
    <mergeCell ref="K17:N17"/>
    <mergeCell ref="K19:N19"/>
    <mergeCell ref="P21:S21"/>
    <mergeCell ref="P22:S22"/>
    <mergeCell ref="P23:S23"/>
    <mergeCell ref="P24:S24"/>
    <mergeCell ref="P25:S25"/>
    <mergeCell ref="O27:T27"/>
    <mergeCell ref="O28:T28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富晨包装</cp:lastModifiedBy>
  <dcterms:created xsi:type="dcterms:W3CDTF">2023-05-12T11:15:00Z</dcterms:created>
  <dcterms:modified xsi:type="dcterms:W3CDTF">2026-05-22T08:50:04Z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B6A746F835104AFFA65B2EA14EA4D293_12</vt:lpwstr>
  </property>
  <property fmtid="{D5CDD505-2E9C-101B-9397-08002B2CF9AE}" pid="4" name="CalculationRule">
    <vt:i4>0</vt:i4>
  </property>
</Properties>
</file>