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bfd859e08e48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8cd61de9b6842d1"/>
    <x:sheet xmlns:r="http://schemas.openxmlformats.org/officeDocument/2006/relationships" name="Sheet2" sheetId="2" r:id="R3ae56fb1dbb14a1f"/>
    <x:sheet xmlns:r="http://schemas.openxmlformats.org/officeDocument/2006/relationships" name="Sheet4" sheetId="4" r:id="R938fd87727f3488d"/>
    <x:sheet xmlns:r="http://schemas.openxmlformats.org/officeDocument/2006/relationships" name="特殊型号报价" sheetId="5" r:id="R8cd8b02d0c654d57"/>
  </x:sheets>
</x:workbook>
</file>

<file path=xl/comments1.xml><?xml version="1.0" encoding="utf-8"?>
<x:comments xmlns:x="http://schemas.openxmlformats.org/spreadsheetml/2006/main">
  <x:authors>
    <x:author>tc={87A59217-6D55-F389-A159-38742B4845ED}</x:author>
  </x:authors>
  <x:commentList>
    <x:comment ref="J17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当前已发布材料价快照输入，不是固定基准报价。ERP 发布新的已确认供应商/批次价格后，未下单报价使用新价格重算；已创建订单保留下单时报价快照。</x:t>
        </x:r>
      </x:text>
    </x:comment>
  </x:commentList>
</x:comments>
</file>

<file path=xl/comments2.xml><?xml version="1.0" encoding="utf-8"?>
<x:comments xmlns:x="http://schemas.openxmlformats.org/spreadsheetml/2006/main">
  <x:authors>
    <x:author>tc={EA4B506A-96A4-7B60-80D0-004836A7A066}</x:author>
  </x:authors>
  <x:commentList>
    <x:comment ref="F19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当前已发布材料价快照输入，不是固定基准报价。ERP 发布新的已确认供应商/批次价格后，未下单报价使用新价格重算；已创建订单保留下单时报价快照。</x:t>
        </x:r>
      </x:text>
    </x:comment>
  </x:commentList>
</x:comments>
</file>

<file path=xl/comments3.xml><?xml version="1.0" encoding="utf-8"?>
<x:comments xmlns:x="http://schemas.openxmlformats.org/spreadsheetml/2006/main">
  <x:authors>
    <x:author>tc={EAE7DBCE-98B1-E157-BB9C-6508C51FAA14}</x:author>
  </x:authors>
  <x:commentList>
    <x:comment ref="L7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当前已发布材料价快照输入，不是固定基准报价。ERP 发布新的已确认供应商/批次价格后，未下单报价使用新价格重算；已创建订单保留下单时报价快照。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<x:sst xmlns:x="http://schemas.openxmlformats.org/spreadsheetml/2006/main">
  <x:si>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单位（cm）</x:t>
  </x:si>
  <x:si>
    <x:t xml:space="preserve">元</x:t>
  </x:si>
  <x:si>
    <x:t xml:space="preserve">单位</x:t>
  </x:si>
  <x:si>
    <x:t xml:space="preserve">袋子尺寸（cm）</x:t>
  </x:si>
  <x:si>
    <x:t xml:space="preserve">折边</x:t>
  </x:si>
  <x:si>
    <x:t xml:space="preserve">布料价格</x:t>
  </x:si>
  <x:si>
    <x:t xml:space="preserve">吨</x:t>
  </x:si>
  <x:si>
    <x:t xml:space="preserve">接缝</x:t>
  </x:si>
  <x:si>
    <x:t xml:space="preserve">宽</x:t>
  </x:si>
  <x:si>
    <x:t xml:space="preserve">每平米克重</x:t>
  </x:si>
  <x:si>
    <x:t xml:space="preserve">高</x:t>
  </x:si>
  <x:si>
    <x:t xml:space="preserve">底侧</x:t>
  </x:si>
  <x:si>
    <x:t xml:space="preserve">宽幅</x:t>
  </x:si>
  <x:si>
    <x:t xml:space="preserve">高*2+底侧+折边*2</x:t>
  </x:si>
  <x:si>
    <x:t xml:space="preserve">换算单位:厘米-米</x:t>
  </x:si>
  <x:si>
    <x:t xml:space="preserve">提手</x:t>
  </x:si>
  <x:si>
    <x:t xml:space="preserve">袋子</x:t>
  </x:si>
  <x:si>
    <x:t xml:space="preserve">宽度</x:t>
  </x:si>
  <x:si>
    <x:t xml:space="preserve">厘米</x:t>
  </x:si>
  <x:si>
    <x:t xml:space="preserve">布长</x:t>
  </x:si>
  <x:si>
    <x:t xml:space="preserve">宽+底侧+接缝</x:t>
  </x:si>
  <x:si>
    <x:t xml:space="preserve">长度</x:t>
  </x:si>
  <x:si>
    <x:t xml:space="preserve">高度</x:t>
  </x:si>
  <x:si>
    <x:t xml:space="preserve">克重</x:t>
  </x:si>
  <x:si>
    <x:t xml:space="preserve">克</x:t>
  </x:si>
  <x:si>
    <x:t xml:space="preserve">单价</x:t>
  </x:si>
  <x:si>
    <x:t xml:space="preserve">根数</x:t>
  </x:si>
  <x:si>
    <x:t xml:space="preserve">条</x:t>
  </x:si>
  <x:si>
    <x:t xml:space="preserve">布料单价</x:t>
  </x:si>
  <x:si>
    <x:t xml:space="preserve">布料面积</x:t>
  </x:si>
  <x:si>
    <x:t xml:space="preserve">宽幅*布长</x:t>
  </x:si>
  <x:si>
    <x:t xml:space="preserve">米</x:t>
  </x:si>
  <x:si>
    <x:t xml:space="preserve">单个袋子布料总克重</x:t>
  </x:si>
  <x:si>
    <x:t xml:space="preserve">布料面积*每平米克重</x:t>
  </x:si>
  <x:si>
    <x:t xml:space="preserve">换算单位：克-千克</x:t>
  </x:si>
  <x:si>
    <x:t xml:space="preserve">单个袋子布料重量</x:t>
  </x:si>
  <x:si>
    <x:t xml:space="preserve">宽度*长度*克重*单价*根数</x:t>
  </x:si>
  <x:si>
    <x:t xml:space="preserve">千克-吨</x:t>
  </x:si>
  <x:si>
    <x:t xml:space="preserve">每个袋子价格</x:t>
  </x:si>
  <x:si>
    <x:t xml:space="preserve">单个袋子布料重量*布料价格/1000</x:t>
  </x:si>
  <x:si>
    <x:t xml:space="preserve">宽幅=高*2+底侧+折边*2</x:t>
  </x:si>
  <x:si>
    <x:t xml:space="preserve">布长=宽+底侧+接缝</x:t>
  </x:si>
  <x:si>
    <x:t xml:space="preserve">布料面积=宽幅*布长</x:t>
  </x:si>
  <x:si>
    <x:t xml:space="preserve">单个袋子布料重量=布料面积*克重</x:t>
  </x:si>
  <x:si>
    <x:t xml:space="preserve">价格=单个袋子布料重量*布料价格</x:t>
  </x:si>
  <x:si>
    <x:t xml:space="preserve">（高*2+底侧+折边*2）*（宽+底侧+接缝）*克重*布料价格</x:t>
  </x:si>
  <x:si>
    <x:t xml:space="preserve">日期</x:t>
  </x:si>
  <x:si>
    <x:t xml:space="preserve">尺寸</x:t>
  </x:si>
  <x:si>
    <x:t xml:space="preserve">颜色</x:t>
  </x:si>
  <x:si>
    <x:t xml:space="preserve">数量</x:t>
  </x:si>
  <x:si>
    <x:t xml:space="preserve">售价</x:t>
  </x:si>
  <x:si>
    <x:t xml:space="preserve">提手成本</x:t>
  </x:si>
  <x:si>
    <x:t xml:space="preserve">袋子成本</x:t>
  </x:si>
  <x:si>
    <x:t xml:space="preserve">毛利（不含人工电费）</x:t>
  </x:si>
  <x:si>
    <x:t xml:space="preserve">3号机</x:t>
  </x:si>
  <x:si>
    <x:t xml:space="preserve">35*27*10</x:t>
  </x:si>
  <x:si>
    <x:t xml:space="preserve">彩色</x:t>
  </x:si>
  <x:si>
    <x:t xml:space="preserve">黑白</x:t>
  </x:si>
</x:sst>
</file>

<file path=xl/styles.xml><?xml version="1.0" encoding="utf-8"?>
<x:styleSheet xmlns:x="http://schemas.openxmlformats.org/spreadsheetml/2006/main">
  <x:numFmts count="10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000_ "/>
    <x:numFmt numFmtId="177" formatCode="0.00_ "/>
    <x:numFmt numFmtId="200" formatCode="0"/>
    <x:numFmt numFmtId="201" formatCode="¥0.00"/>
    <x:numFmt numFmtId="202" formatCode="0.000000"/>
    <x:numFmt numFmtId="203" formatCode="¥#,##0.00"/>
  </x:numFmts>
  <x:fonts count="27">
    <x:font>
      <x:sz val="11"/>
      <x:color theme="1"/>
      <x:name val="宋体"/>
    </x:font>
    <x:font>
      <x:sz val="11"/>
      <x:color rgb="FFFF0000"/>
      <x:name val="宋体"/>
    </x:font>
    <x:font>
      <x:sz val="11"/>
      <x:color theme="9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b/>
      <x:sz val="18"/>
      <x:color rgb="FFFFFFFF"/>
      <x:name val="宋体"/>
    </x:font>
    <x:font>
      <x:b/>
      <x:sz val="11"/>
      <x:color rgb="FF173F35"/>
      <x:name val="宋体"/>
    </x:font>
    <x:font>
      <x:b/>
      <x:sz val="11"/>
      <x:color rgb="FF33413D"/>
      <x:name val="宋体"/>
    </x:font>
    <x:font>
      <x:b/>
      <x:sz val="11"/>
      <x:color rgb="FF17603F"/>
      <x:name val="宋体"/>
    </x:font>
    <x:font>
      <x:sz val="11"/>
      <x:color rgb="FF33413D"/>
      <x:name val="宋体"/>
    </x:font>
  </x:fonts>
  <x:fills count="47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73F35"/>
      </x:patternFill>
    </x:fill>
    <x:fill>
      <x:patternFill patternType="solid">
        <x:fgColor rgb="FFE7F1ED"/>
      </x:patternFill>
    </x:fill>
    <x:fill>
      <x:patternFill patternType="solid">
        <x:fgColor rgb="FF2F6F5E"/>
      </x:patternFill>
    </x:fill>
    <x:fill>
      <x:patternFill patternType="solid">
        <x:fgColor rgb="FFFFF5D6"/>
      </x:patternFill>
    </x:fill>
    <x:fill>
      <x:patternFill patternType="solid">
        <x:fgColor rgb="FFF3F7F5"/>
      </x:patternFill>
    </x:fill>
    <x:fill>
      <x:patternFill patternType="solid">
        <x:fgColor rgb="FFDDF3E7"/>
      </x:patternFill>
    </x:fill>
    <x:fill>
      <x:patternFill patternType="solid">
        <x:fgColor rgb="FFF8FAF9"/>
      </x:patternFill>
    </x:fill>
    <x:fill>
      <x:patternFill patternType="solid">
        <x:fgColor rgb="FF173F35"/>
      </x:patternFill>
    </x:fill>
    <x:fill>
      <x:patternFill patternType="solid">
        <x:fgColor rgb="FFE7F1ED"/>
      </x:patternFill>
    </x:fill>
    <x:fill>
      <x:patternFill patternType="solid">
        <x:fgColor rgb="FFF3F7F5"/>
      </x:patternFill>
    </x:fill>
    <x:fill>
      <x:patternFill patternType="solid">
        <x:fgColor rgb="FF2F6F5E"/>
      </x:patternFill>
    </x:fill>
    <x:fill>
      <x:patternFill patternType="solid">
        <x:fgColor rgb="FFFFF5D6"/>
      </x:patternFill>
    </x:fill>
    <x:fill>
      <x:patternFill patternType="solid">
        <x:fgColor rgb="FFDDF3E7"/>
      </x:patternFill>
    </x:fill>
    <x:fill>
      <x:patternFill patternType="solid">
        <x:fgColor rgb="FFF8FAF9"/>
      </x:patternFill>
    </x:fill>
  </x:fills>
  <x:borders count="19">
    <x:border/>
    <x:border>
      <x:left style="thin">
        <x:color auto="1"/>
      </x:left>
      <x:top style="thin">
        <x:color auto="1"/>
      </x:top>
      <x:bottom style="thin">
        <x:color auto="1"/>
      </x:bottom>
    </x:border>
    <x:border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CFDDD8"/>
      </x:left>
      <x:right style="thin">
        <x:color rgb="FFCFDDD8"/>
      </x:right>
      <x:top style="thin">
        <x:color rgb="FFCFDDD8"/>
      </x:top>
      <x:bottom style="thin">
        <x:color rgb="FFCFDDD8"/>
      </x:bottom>
    </x:border>
  </x:borders>
  <x:cellStyleXfs count="49">
    <x:xf numFmtId="0" fontId="0" fillId="0" borderId="0">
      <x:alignment vertical="center"/>
    </x:xf>
    <x:xf numFmtId="43" fontId="0" fillId="0" borderId="0">
      <x:alignment vertical="center"/>
    </x:xf>
    <x:xf numFmtId="44" fontId="0" fillId="0" borderId="0">
      <x:alignment vertical="center"/>
    </x:xf>
    <x:xf numFmtId="9" fontId="0" fillId="0" borderId="0">
      <x:alignment vertical="center"/>
    </x:xf>
    <x:xf numFmtId="41" fontId="0" fillId="0" borderId="0">
      <x:alignment vertical="center"/>
    </x:xf>
    <x:xf numFmtId="42" fontId="0" fillId="0" borderId="0">
      <x:alignment vertical="center"/>
    </x:xf>
    <x:xf numFmtId="0" fontId="3" fillId="0" borderId="0">
      <x:alignment vertical="center"/>
    </x:xf>
    <x:xf numFmtId="0" fontId="4" fillId="0" borderId="0">
      <x:alignment vertical="center"/>
    </x:xf>
    <x:xf numFmtId="0" fontId="0" fillId="2" borderId="10">
      <x:alignment vertical="center"/>
    </x:xf>
    <x:xf numFmtId="0" fontId="5" fillId="0" borderId="0">
      <x:alignment vertical="center"/>
    </x:xf>
    <x:xf numFmtId="0" fontId="6" fillId="0" borderId="0">
      <x:alignment vertical="center"/>
    </x:xf>
    <x:xf numFmtId="0" fontId="7" fillId="0" borderId="0">
      <x:alignment vertical="center"/>
    </x:xf>
    <x:xf numFmtId="0" fontId="8" fillId="0" borderId="11">
      <x:alignment vertical="center"/>
    </x:xf>
    <x:xf numFmtId="0" fontId="9" fillId="0" borderId="11">
      <x:alignment vertical="center"/>
    </x:xf>
    <x:xf numFmtId="0" fontId="10" fillId="0" borderId="12">
      <x:alignment vertical="center"/>
    </x:xf>
    <x:xf numFmtId="0" fontId="10" fillId="0" borderId="0">
      <x:alignment vertical="center"/>
    </x:xf>
    <x:xf numFmtId="0" fontId="11" fillId="3" borderId="13">
      <x:alignment vertical="center"/>
    </x:xf>
    <x:xf numFmtId="0" fontId="12" fillId="4" borderId="14">
      <x:alignment vertical="center"/>
    </x:xf>
    <x:xf numFmtId="0" fontId="13" fillId="4" borderId="13">
      <x:alignment vertical="center"/>
    </x:xf>
    <x:xf numFmtId="0" fontId="14" fillId="5" borderId="15">
      <x:alignment vertical="center"/>
    </x:xf>
    <x:xf numFmtId="0" fontId="15" fillId="0" borderId="16">
      <x:alignment vertical="center"/>
    </x:xf>
    <x:xf numFmtId="0" fontId="16" fillId="0" borderId="17">
      <x:alignment vertical="center"/>
    </x:xf>
    <x:xf numFmtId="0" fontId="17" fillId="6" borderId="0">
      <x:alignment vertical="center"/>
    </x:xf>
    <x:xf numFmtId="0" fontId="18" fillId="7" borderId="0">
      <x:alignment vertical="center"/>
    </x:xf>
    <x:xf numFmtId="0" fontId="19" fillId="8" borderId="0">
      <x:alignment vertical="center"/>
    </x:xf>
    <x:xf numFmtId="0" fontId="20" fillId="9" borderId="0">
      <x:alignment vertical="center"/>
    </x:xf>
    <x:xf numFmtId="0" fontId="21" fillId="10" borderId="0">
      <x:alignment vertical="center"/>
    </x:xf>
    <x:xf numFmtId="0" fontId="21" fillId="11" borderId="0">
      <x:alignment vertical="center"/>
    </x:xf>
    <x:xf numFmtId="0" fontId="20" fillId="12" borderId="0">
      <x:alignment vertical="center"/>
    </x:xf>
    <x:xf numFmtId="0" fontId="20" fillId="13" borderId="0">
      <x:alignment vertical="center"/>
    </x:xf>
    <x:xf numFmtId="0" fontId="21" fillId="14" borderId="0">
      <x:alignment vertical="center"/>
    </x:xf>
    <x:xf numFmtId="0" fontId="21" fillId="15" borderId="0">
      <x:alignment vertical="center"/>
    </x:xf>
    <x:xf numFmtId="0" fontId="20" fillId="16" borderId="0">
      <x:alignment vertical="center"/>
    </x:xf>
    <x:xf numFmtId="0" fontId="20" fillId="17" borderId="0">
      <x:alignment vertical="center"/>
    </x:xf>
    <x:xf numFmtId="0" fontId="21" fillId="18" borderId="0">
      <x:alignment vertical="center"/>
    </x:xf>
    <x:xf numFmtId="0" fontId="21" fillId="19" borderId="0">
      <x:alignment vertical="center"/>
    </x:xf>
    <x:xf numFmtId="0" fontId="20" fillId="20" borderId="0">
      <x:alignment vertical="center"/>
    </x:xf>
    <x:xf numFmtId="0" fontId="20" fillId="21" borderId="0">
      <x:alignment vertical="center"/>
    </x:xf>
    <x:xf numFmtId="0" fontId="21" fillId="22" borderId="0">
      <x:alignment vertical="center"/>
    </x:xf>
    <x:xf numFmtId="0" fontId="21" fillId="23" borderId="0">
      <x:alignment vertical="center"/>
    </x:xf>
    <x:xf numFmtId="0" fontId="20" fillId="24" borderId="0">
      <x:alignment vertical="center"/>
    </x:xf>
    <x:xf numFmtId="0" fontId="20" fillId="25" borderId="0">
      <x:alignment vertical="center"/>
    </x:xf>
    <x:xf numFmtId="0" fontId="21" fillId="26" borderId="0">
      <x:alignment vertical="center"/>
    </x:xf>
    <x:xf numFmtId="0" fontId="21" fillId="27" borderId="0">
      <x:alignment vertical="center"/>
    </x:xf>
    <x:xf numFmtId="0" fontId="20" fillId="28" borderId="0">
      <x:alignment vertical="center"/>
    </x:xf>
    <x:xf numFmtId="0" fontId="20" fillId="29" borderId="0">
      <x:alignment vertical="center"/>
    </x:xf>
    <x:xf numFmtId="0" fontId="21" fillId="30" borderId="0">
      <x:alignment vertical="center"/>
    </x:xf>
    <x:xf numFmtId="0" fontId="21" fillId="31" borderId="0">
      <x:alignment vertical="center"/>
    </x:xf>
    <x:xf numFmtId="0" fontId="20" fillId="32" borderId="0">
      <x:alignment vertical="center"/>
    </x:xf>
  </x:cellStyleXfs>
  <x:cellXfs count="77">
    <x:xf numFmtId="0" fontId="0" fillId="0" borderId="0" xfId="0" applyAlignment="1">
      <x:alignment vertical="center"/>
    </x:xf>
    <x:xf numFmtId="0" fontId="0" fillId="0" borderId="1" xfId="0" applyBorder="1" applyAlignment="1">
      <x:alignment horizontal="center" vertical="center"/>
    </x:xf>
    <x:xf numFmtId="0" fontId="0" fillId="0" borderId="2" xfId="0" applyBorder="1" applyAlignment="1">
      <x:alignment horizontal="center" vertical="center"/>
    </x:xf>
    <x:xf numFmtId="0" fontId="0" fillId="0" borderId="3" xfId="0" applyBorder="1" applyAlignment="1">
      <x:alignment horizontal="center" vertical="center"/>
    </x:xf>
    <x:xf numFmtId="0" fontId="0" fillId="0" borderId="4" xfId="0" applyBorder="1" applyAlignment="1">
      <x:alignment horizontal="center" vertical="center"/>
    </x:xf>
    <x:xf numFmtId="0" fontId="0" fillId="0" borderId="4" xfId="0" applyBorder="1" applyAlignment="1">
      <x:alignment vertical="center"/>
    </x:xf>
    <x:xf numFmtId="0" fontId="1" fillId="0" borderId="4" xfId="0" applyFont="1" applyBorder="1" applyAlignment="1">
      <x:alignment vertical="center"/>
    </x:xf>
    <x:xf numFmtId="0" fontId="2" fillId="0" borderId="4" xfId="0" applyFont="1" applyBorder="1" applyAlignment="1">
      <x:alignment vertical="center"/>
    </x:xf>
    <x:xf numFmtId="31" fontId="0" fillId="0" borderId="0" xfId="0" applyNumberFormat="1" applyAlignment="1">
      <x:alignment vertical="center"/>
    </x:xf>
    <x:xf numFmtId="176" fontId="0" fillId="0" borderId="0" xfId="0" applyNumberFormat="1" applyAlignment="1">
      <x:alignment vertical="center"/>
    </x:xf>
    <x:xf numFmtId="0" fontId="0" fillId="0" borderId="4" xfId="0" applyFont="1" applyBorder="1" applyAlignment="1">
      <x:alignment vertical="center"/>
    </x:xf>
    <x:xf numFmtId="0" fontId="0" fillId="0" borderId="0" xfId="0" applyBorder="1" applyAlignment="1">
      <x:alignment vertical="center"/>
    </x:xf>
    <x:xf numFmtId="176" fontId="0" fillId="0" borderId="4" xfId="0" applyNumberFormat="1" applyBorder="1" applyAlignment="1">
      <x:alignment horizontal="center" vertical="center"/>
    </x:xf>
    <x:xf numFmtId="0" fontId="0" fillId="0" borderId="0" xfId="0" applyAlignment="1">
      <x:alignment horizontal="center" vertical="center"/>
    </x:xf>
    <x:xf numFmtId="177" fontId="0" fillId="0" borderId="0" xfId="0" applyNumberFormat="1" applyAlignment="1">
      <x:alignment horizontal="center" vertical="center"/>
    </x:xf>
    <x:xf numFmtId="0" fontId="0" fillId="0" borderId="5" xfId="0" applyBorder="1" applyAlignment="1">
      <x:alignment horizontal="center" vertical="center"/>
    </x:xf>
    <x:xf numFmtId="0" fontId="0" fillId="0" borderId="6" xfId="0" applyBorder="1" applyAlignment="1">
      <x:alignment horizontal="center" vertical="center"/>
    </x:xf>
    <x:xf numFmtId="0" fontId="0" fillId="0" borderId="7" xfId="0" applyBorder="1" applyAlignment="1">
      <x:alignment horizontal="center" vertical="center"/>
    </x:xf>
    <x:xf numFmtId="0" fontId="0" fillId="0" borderId="8" xfId="0" applyBorder="1" applyAlignment="1">
      <x:alignment horizontal="center" vertical="center"/>
    </x:xf>
    <x:xf numFmtId="0" fontId="0" fillId="0" borderId="9" xfId="0" applyBorder="1" applyAlignment="1">
      <x:alignment horizontal="center" vertical="center"/>
    </x:xf>
    <x:xf numFmtId="0" fontId="0" fillId="33" borderId="0" xfId="0" applyNumberFormat="1" applyFont="1" applyFill="1" applyBorder="1" applyAlignment="1">
      <x:alignment vertical="center"/>
    </x:xf>
    <x:xf numFmtId="0" fontId="22" fillId="33" borderId="0" xfId="0" applyNumberFormat="1" applyFont="1" applyFill="1" applyBorder="1" applyAlignment="1">
      <x:alignment vertical="center"/>
    </x:xf>
    <x:xf numFmtId="0" fontId="22" fillId="33" borderId="0" xfId="0" applyNumberFormat="1" applyFont="1" applyFill="1" applyBorder="1" applyAlignment="1">
      <x:alignment horizontal="center" vertical="center"/>
    </x:xf>
    <x:xf numFmtId="0" fontId="0" fillId="34" borderId="0" xfId="0" applyNumberFormat="1" applyFont="1" applyFill="1" applyBorder="1" applyAlignment="1">
      <x:alignment vertical="center"/>
    </x:xf>
    <x:xf numFmtId="0" fontId="23" fillId="34" borderId="0" xfId="0" applyNumberFormat="1" applyFont="1" applyFill="1" applyBorder="1" applyAlignment="1">
      <x:alignment vertical="center"/>
    </x:xf>
    <x:xf numFmtId="0" fontId="23" fillId="34" borderId="0" xfId="0" applyNumberFormat="1" applyFont="1" applyFill="1" applyBorder="1" applyAlignment="1">
      <x:alignment vertical="center" wrapText="1"/>
    </x:xf>
    <x:xf numFmtId="0" fontId="0" fillId="35" borderId="0" xfId="0" applyNumberFormat="1" applyFont="1" applyFill="1" applyBorder="1" applyAlignment="1">
      <x:alignment vertical="center"/>
    </x:xf>
    <x:xf numFmtId="0" fontId="14" fillId="35" borderId="0" xfId="0" applyNumberFormat="1" applyFont="1" applyFill="1" applyBorder="1" applyAlignment="1">
      <x:alignment vertical="center"/>
    </x:xf>
    <x:xf numFmtId="0" fontId="14" fillId="35" borderId="0" xfId="0" applyNumberFormat="1" applyFont="1" applyFill="1" applyBorder="1" applyAlignment="1">
      <x:alignment horizontal="center" vertical="center"/>
    </x:xf>
    <x:xf numFmtId="0" fontId="0" fillId="36" borderId="0" xfId="0" applyNumberFormat="1" applyFont="1" applyFill="1" applyBorder="1" applyAlignment="1">
      <x:alignment vertical="center"/>
    </x:xf>
    <x:xf numFmtId="0" fontId="0" fillId="37" borderId="0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36" borderId="18" xfId="0" applyNumberFormat="1" applyFont="1" applyFill="1" applyBorder="1" applyAlignment="1">
      <x:alignment vertical="center"/>
    </x:xf>
    <x:xf numFmtId="0" fontId="0" fillId="37" borderId="18" xfId="0" applyNumberFormat="1" applyFont="1" applyFill="1" applyBorder="1" applyAlignment="1">
      <x:alignment vertical="center"/>
    </x:xf>
    <x:xf numFmtId="0" fontId="24" fillId="0" borderId="18" xfId="0" applyNumberFormat="1" applyFont="1" applyFill="1" applyBorder="1" applyAlignment="1">
      <x:alignment vertical="center"/>
    </x:xf>
    <x:xf numFmtId="200" fontId="0" fillId="0" borderId="18" xfId="0" applyNumberFormat="1" applyFont="1" applyFill="1" applyBorder="1" applyAlignment="1">
      <x:alignment vertical="center"/>
    </x:xf>
    <x:xf numFmtId="201" fontId="0" fillId="37" borderId="18" xfId="0" applyNumberFormat="1" applyFont="1" applyFill="1" applyBorder="1" applyAlignment="1">
      <x:alignment vertical="center"/>
    </x:xf>
    <x:xf numFmtId="0" fontId="0" fillId="34" borderId="18" xfId="0" applyNumberFormat="1" applyFont="1" applyFill="1" applyBorder="1" applyAlignment="1">
      <x:alignment vertical="center"/>
    </x:xf>
    <x:xf numFmtId="202" fontId="0" fillId="34" borderId="18" xfId="0" applyNumberFormat="1" applyFont="1" applyFill="1" applyBorder="1" applyAlignment="1">
      <x:alignment vertical="center"/>
    </x:xf>
    <x:xf numFmtId="201" fontId="0" fillId="34" borderId="18" xfId="0" applyNumberFormat="1" applyFont="1" applyFill="1" applyBorder="1" applyAlignment="1">
      <x:alignment vertical="center"/>
    </x:xf>
    <x:xf numFmtId="203" fontId="0" fillId="34" borderId="18" xfId="0" applyNumberFormat="1" applyFont="1" applyFill="1" applyBorder="1" applyAlignment="1">
      <x:alignment vertical="center"/>
    </x:xf>
    <x:xf numFmtId="0" fontId="0" fillId="38" borderId="18" xfId="0" applyNumberFormat="1" applyFont="1" applyFill="1" applyBorder="1" applyAlignment="1">
      <x:alignment vertical="center"/>
    </x:xf>
    <x:xf numFmtId="0" fontId="25" fillId="38" borderId="18" xfId="0" applyNumberFormat="1" applyFont="1" applyFill="1" applyBorder="1" applyAlignment="1">
      <x:alignment vertical="center"/>
    </x:xf>
    <x:xf numFmtId="0" fontId="0" fillId="39" borderId="0" xfId="0" applyNumberFormat="1" applyFont="1" applyFill="1" applyBorder="1" applyAlignment="1">
      <x:alignment vertical="center"/>
    </x:xf>
    <x:xf numFmtId="0" fontId="0" fillId="39" borderId="18" xfId="0" applyNumberFormat="1" applyFont="1" applyFill="1" applyBorder="1" applyAlignment="1">
      <x:alignment vertical="center"/>
    </x:xf>
    <x:xf numFmtId="0" fontId="0" fillId="39" borderId="18" xfId="0" applyNumberFormat="1" applyFont="1" applyFill="1" applyBorder="1" applyAlignment="1">
      <x:alignment vertical="center" wrapText="1"/>
    </x:xf>
    <x:xf numFmtId="0" fontId="24" fillId="39" borderId="18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22" fillId="3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14" fillId="35" borderId="0" xfId="0" applyNumberFormat="1" applyFont="1" applyFill="1" applyBorder="1" applyAlignment="1">
      <x:alignment horizontal="center" vertical="center" wrapText="1"/>
    </x:xf>
    <x:xf numFmtId="0" fontId="24" fillId="0" borderId="18" xfId="0" applyNumberFormat="1" applyFont="1" applyFill="1" applyBorder="1" applyAlignment="1">
      <x:alignment vertical="center" wrapText="1"/>
    </x:xf>
    <x:xf numFmtId="0" fontId="0" fillId="36" borderId="18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37" borderId="18" xfId="0" applyNumberFormat="1" applyFont="1" applyFill="1" applyBorder="1" applyAlignment="1">
      <x:alignment vertical="center" wrapText="1"/>
    </x:xf>
    <x:xf numFmtId="200" fontId="0" fillId="0" borderId="18" xfId="0" applyNumberFormat="1" applyFont="1" applyFill="1" applyBorder="1" applyAlignment="1">
      <x:alignment vertical="center" wrapText="1"/>
    </x:xf>
    <x:xf numFmtId="201" fontId="0" fillId="37" borderId="18" xfId="0" applyNumberFormat="1" applyFont="1" applyFill="1" applyBorder="1" applyAlignment="1">
      <x:alignment vertical="center" wrapText="1"/>
    </x:xf>
    <x:xf numFmtId="202" fontId="0" fillId="34" borderId="18" xfId="0" applyNumberFormat="1" applyFont="1" applyFill="1" applyBorder="1" applyAlignment="1">
      <x:alignment vertical="center" wrapText="1"/>
    </x:xf>
    <x:xf numFmtId="201" fontId="0" fillId="34" borderId="18" xfId="0" applyNumberFormat="1" applyFont="1" applyFill="1" applyBorder="1" applyAlignment="1">
      <x:alignment vertical="center" wrapText="1"/>
    </x:xf>
    <x:xf numFmtId="203" fontId="0" fillId="34" borderId="18" xfId="0" applyNumberFormat="1" applyFont="1" applyFill="1" applyBorder="1" applyAlignment="1">
      <x:alignment vertical="center" wrapText="1"/>
    </x:xf>
    <x:xf numFmtId="0" fontId="25" fillId="38" borderId="18" xfId="0" applyNumberFormat="1" applyFont="1" applyFill="1" applyBorder="1" applyAlignment="1">
      <x:alignment vertical="center" wrapText="1"/>
    </x:xf>
    <x:xf numFmtId="0" fontId="22" fillId="40" borderId="0" xfId="0" applyNumberFormat="1" applyFont="1" applyFill="1" applyBorder="1" applyAlignment="1">
      <x:alignment horizontal="center" vertical="center" wrapText="1"/>
    </x:xf>
    <x:xf numFmtId="0" fontId="23" fillId="41" borderId="0" xfId="0" applyNumberFormat="1" applyFont="1" applyFill="1" applyBorder="1" applyAlignment="1">
      <x:alignment vertical="center" wrapText="1"/>
    </x:xf>
    <x:xf numFmtId="0" fontId="0" fillId="42" borderId="0" xfId="0" applyNumberFormat="1" applyFont="1" applyFill="1" applyBorder="1" applyAlignment="1">
      <x:alignment vertical="center" wrapText="1"/>
    </x:xf>
    <x:xf numFmtId="0" fontId="26" fillId="42" borderId="0" xfId="0" applyNumberFormat="1" applyFont="1" applyFill="1" applyBorder="1" applyAlignment="1">
      <x:alignment vertical="center" wrapText="1"/>
    </x:xf>
    <x:xf numFmtId="0" fontId="14" fillId="43" borderId="0" xfId="0" applyNumberFormat="1" applyFont="1" applyFill="1" applyBorder="1" applyAlignment="1">
      <x:alignment horizontal="center" vertical="center" wrapText="1"/>
    </x:xf>
    <x:xf numFmtId="0" fontId="0" fillId="44" borderId="18" xfId="0" applyNumberFormat="1" applyFont="1" applyFill="1" applyBorder="1" applyAlignment="1">
      <x:alignment vertical="center" wrapText="1"/>
    </x:xf>
    <x:xf numFmtId="0" fontId="0" fillId="42" borderId="18" xfId="0" applyNumberFormat="1" applyFont="1" applyFill="1" applyBorder="1" applyAlignment="1">
      <x:alignment vertical="center" wrapText="1"/>
    </x:xf>
    <x:xf numFmtId="201" fontId="0" fillId="42" borderId="18" xfId="0" applyNumberFormat="1" applyFont="1" applyFill="1" applyBorder="1" applyAlignment="1">
      <x:alignment vertical="center" wrapText="1"/>
    </x:xf>
    <x:xf numFmtId="202" fontId="0" fillId="41" borderId="18" xfId="0" applyNumberFormat="1" applyFont="1" applyFill="1" applyBorder="1" applyAlignment="1">
      <x:alignment vertical="center" wrapText="1"/>
    </x:xf>
    <x:xf numFmtId="201" fontId="0" fillId="41" borderId="18" xfId="0" applyNumberFormat="1" applyFont="1" applyFill="1" applyBorder="1" applyAlignment="1">
      <x:alignment vertical="center" wrapText="1"/>
    </x:xf>
    <x:xf numFmtId="203" fontId="0" fillId="41" borderId="18" xfId="0" applyNumberFormat="1" applyFont="1" applyFill="1" applyBorder="1" applyAlignment="1">
      <x:alignment vertical="center" wrapText="1"/>
    </x:xf>
    <x:xf numFmtId="0" fontId="25" fillId="41" borderId="18" xfId="0" applyNumberFormat="1" applyFont="1" applyFill="1" applyBorder="1" applyAlignment="1">
      <x:alignment vertical="center" wrapText="1"/>
    </x:xf>
    <x:xf numFmtId="0" fontId="25" fillId="45" borderId="18" xfId="0" applyNumberFormat="1" applyFont="1" applyFill="1" applyBorder="1" applyAlignment="1">
      <x:alignment vertical="center" wrapText="1"/>
    </x:xf>
    <x:xf numFmtId="0" fontId="24" fillId="46" borderId="18" xfId="0" applyNumberFormat="1" applyFont="1" applyFill="1" applyBorder="1" applyAlignment="1">
      <x:alignment vertical="center" wrapText="1"/>
    </x:xf>
    <x:xf numFmtId="0" fontId="0" fillId="46" borderId="18" xfId="0" applyNumberFormat="1" applyFont="1" applyFill="1" applyBorder="1" applyAlignment="1">
      <x:alignment vertical="center" wrapText="1"/>
    </x:xf>
    <x:xf numFmtId="0" fontId="0" fillId="46" borderId="0" xfId="0" applyNumberFormat="1" applyFont="1" applyFill="1" applyBorder="1" applyAlignment="1">
      <x:alignment vertical="center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8ddc3c4d9d4250" /><Relationship Type="http://schemas.openxmlformats.org/officeDocument/2006/relationships/theme" Target="/xl/theme/theme1.xml" Id="Rf1e30ca1b892449e" /><Relationship Type="http://schemas.openxmlformats.org/officeDocument/2006/relationships/sharedStrings" Target="/xl/sharedStrings.xml" Id="R9de934d04fd8477e" /><Relationship Type="http://schemas.openxmlformats.org/officeDocument/2006/relationships/worksheet" Target="/xl/worksheets/sheet1.xml" Id="R38cd61de9b6842d1" /><Relationship Type="http://schemas.openxmlformats.org/officeDocument/2006/relationships/worksheet" Target="/xl/worksheets/sheet2.xml" Id="R3ae56fb1dbb14a1f" /><Relationship Type="http://schemas.openxmlformats.org/officeDocument/2006/relationships/worksheet" Target="/xl/worksheets/sheet3.xml" Id="R938fd87727f3488d" /><Relationship Type="http://schemas.openxmlformats.org/officeDocument/2006/relationships/worksheet" Target="/xl/worksheets/sheet4.xml" Id="R8cd8b02d0c654d57" /><Relationship Type="http://schemas.microsoft.com/office/2017/10/relationships/person" Target="/xl/persons/person.xml" Id="Rb553640276c84360" /></Relationships>
</file>

<file path=xl/persons/person.xml><?xml version="1.0" encoding="utf-8"?>
<xltc:personList xmlns:xltc="http://schemas.microsoft.com/office/spreadsheetml/2018/threadedcomments">
  <xltc:person displayName="User" id="{7405370B-46A8-4D0F-93BA-3B9D82D9BAF4}"/>
</xltc:personList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J17" dT="2026-07-22T02:38:02.135" personId="{7405370B-46A8-4D0F-93BA-3B9D82D9BAF4}" id="{87A59217-6D55-F389-A159-38742B4845ED}">
    <xltc:text>当前已发布材料价快照输入，不是固定基准报价。ERP 发布新的已确认供应商/批次价格后，未下单报价使用新价格重算；已创建订单保留下单时报价快照。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F19" dT="2026-07-22T02:38:02.135" personId="{7405370B-46A8-4D0F-93BA-3B9D82D9BAF4}" id="{EA4B506A-96A4-7B60-80D0-004836A7A066}">
    <xltc:text>当前已发布材料价快照输入，不是固定基准报价。ERP 发布新的已确认供应商/批次价格后，未下单报价使用新价格重算；已创建订单保留下单时报价快照。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L7" dT="2026-07-22T02:38:02.135" personId="{7405370B-46A8-4D0F-93BA-3B9D82D9BAF4}" id="{EAE7DBCE-98B1-E157-BB9C-6508C51FAA14}">
    <xltc:text>当前已发布材料价快照输入，不是固定基准报价。ERP 发布新的已确认供应商/批次价格后，未下单报价使用新价格重算；已创建订单保留下单时报价快照。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1b4305d191ec4ec6" /><Relationship Type="http://schemas.openxmlformats.org/officeDocument/2006/relationships/vmlDrawing" Target="/xl/drawings/vmldrawing.vml" Id="Re897e58d08164913" /><Relationship Type="http://schemas.microsoft.com/office/2017/10/relationships/threadedComment" Target="/xl/threadedcomments/threadedcomment.xml" Id="Rd72801188860453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440ca32e0b174dac" /><Relationship Type="http://schemas.openxmlformats.org/officeDocument/2006/relationships/vmlDrawing" Target="/xl/drawings/vmldrawing2.vml" Id="Re5f29bd7e3ff4593" /><Relationship Type="http://schemas.microsoft.com/office/2017/10/relationships/threadedComment" Target="/xl/threadedcomments/threadedcomment2.xml" Id="R2919a6cdf285408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a5eb6c3c3ea448dc" /><Relationship Type="http://schemas.openxmlformats.org/officeDocument/2006/relationships/vmlDrawing" Target="/xl/drawings/vmldrawing3.vml" Id="R4dcc895a4d0b4cf3" /><Relationship Type="http://schemas.microsoft.com/office/2017/10/relationships/threadedComment" Target="/xl/threadedcomments/threadedcomment3.xml" Id="R65d685c4217f4700" /></Relationships>
</file>

<file path=xl/worksheets/sheet1.xml><?xml version="1.0" encoding="utf-8"?>
<x:worksheet xmlns:x="http://schemas.openxmlformats.org/spreadsheetml/2006/main">
  <x:sheetFormatPr defaultColWidth="9" defaultRowHeight="14.399999618530273"/>
  <x:cols>
    <x:col min="3" max="3" width="20.351852416992188" customWidth="1"/>
    <x:col min="6" max="6" width="11.712963104248047" customWidth="1"/>
    <x:col min="10" max="10" width="9.379630088806152" customWidth="0"/>
    <x:col min="17" max="17" width="9.379630088806152" customWidth="0"/>
  </x:cols>
  <x:sheetData>
    <x:row r="2">
      <x:c r="F2" s="4" t="s">
        <x:v>0</x:v>
      </x:c>
      <x:c r="G2" s="4"/>
      <x:c r="I2" s="5"/>
      <x:c r="J2" s="5" t="s">
        <x:v>1</x:v>
      </x:c>
      <x:c r="K2" s="5" t="s">
        <x:v>2</x:v>
      </x:c>
    </x:row>
    <x:row r="3">
      <x:c r="C3" s="15" t="s">
        <x:v>3</x:v>
      </x:c>
      <x:c r="D3" s="16"/>
      <x:c r="F3" s="5" t="s">
        <x:v>4</x:v>
      </x:c>
      <x:c r="G3" s="5">
        <x:v>3</x:v>
      </x:c>
      <x:c r="I3" s="5" t="s">
        <x:v>5</x:v>
      </x:c>
      <x:c r="J3" s="5">
        <x:v>8900</x:v>
      </x:c>
      <x:c r="K3" s="5" t="s">
        <x:v>6</x:v>
      </x:c>
    </x:row>
    <x:row r="4">
      <x:c r="C4" s="17"/>
      <x:c r="D4" s="18"/>
      <x:c r="F4" s="5" t="s">
        <x:v>7</x:v>
      </x:c>
      <x:c r="G4" s="5">
        <x:v>2</x:v>
      </x:c>
    </x:row>
    <x:row r="5">
      <x:c r="C5" s="5" t="s">
        <x:v>8</x:v>
      </x:c>
      <x:c r="D5" s="5">
        <x:v>35</x:v>
      </x:c>
      <x:c r="F5" s="5" t="s">
        <x:v>9</x:v>
      </x:c>
      <x:c r="G5" s="5">
        <x:v>78</x:v>
      </x:c>
    </x:row>
    <x:row r="6">
      <x:c r="C6" s="5" t="s">
        <x:v>10</x:v>
      </x:c>
      <x:c r="D6" s="5">
        <x:v>27</x:v>
      </x:c>
    </x:row>
    <x:row r="7">
      <x:c r="C7" s="5" t="s">
        <x:v>11</x:v>
      </x:c>
      <x:c r="D7" s="5">
        <x:v>10</x:v>
      </x:c>
    </x:row>
    <x:row r="10">
      <x:c r="C10" s="5" t="s">
        <x:v>12</x:v>
      </x:c>
      <x:c r="D10" s="19" t="s">
        <x:v>13</x:v>
      </x:c>
      <x:c r="E10" s="19"/>
      <x:c r="F10" s="19"/>
    </x:row>
    <x:row r="11">
      <x:c r="C11" s="5" t="s">
        <x:v>12</x:v>
      </x:c>
      <x:c r="D11" s="4" t="n">
        <x:f>SUM(D6*2+D7+G3*2)</x:f>
        <x:v>70</x:v>
      </x:c>
      <x:c r="E11" s="4"/>
      <x:c r="F11" s="4"/>
    </x:row>
    <x:row r="12">
      <x:c r="A12" s="13" t="s">
        <x:v>14</x:v>
      </x:c>
      <x:c r="C12" s="5" t="s">
        <x:v>12</x:v>
      </x:c>
      <x:c r="D12" s="4" t="n">
        <x:f>SUM(D11/100)</x:f>
        <x:v>0.7</x:v>
      </x:c>
      <x:c r="E12" s="4"/>
      <x:c r="F12" s="4"/>
    </x:row>
    <x:row r="13">
      <x:c r="I13" s="1" t="s">
        <x:v>15</x:v>
      </x:c>
      <x:c r="J13" s="2"/>
      <x:c r="K13" s="2"/>
      <x:c r="L13" s="3"/>
      <x:c r="P13" s="4" t="s">
        <x:v>16</x:v>
      </x:c>
      <x:c r="Q13" s="4"/>
      <x:c r="R13" s="4"/>
      <x:c r="S13" s="4"/>
    </x:row>
    <x:row r="14">
      <x:c r="I14" s="5" t="s">
        <x:v>17</x:v>
      </x:c>
      <x:c r="J14" s="6">
        <x:v>5</x:v>
      </x:c>
      <x:c r="K14" s="5" t="s">
        <x:v>18</x:v>
      </x:c>
      <x:c r="L14" s="5"/>
      <x:c r="P14" s="5" t="s">
        <x:v>17</x:v>
      </x:c>
      <x:c r="Q14" s="7">
        <x:v>35</x:v>
      </x:c>
      <x:c r="R14" s="5" t="s">
        <x:v>18</x:v>
      </x:c>
      <x:c r="S14" s="5"/>
    </x:row>
    <x:row r="15">
      <x:c r="C15" s="5" t="s">
        <x:v>19</x:v>
      </x:c>
      <x:c r="D15" s="19" t="s">
        <x:v>20</x:v>
      </x:c>
      <x:c r="E15" s="19"/>
      <x:c r="F15" s="19"/>
      <x:c r="I15" s="5" t="s">
        <x:v>21</x:v>
      </x:c>
      <x:c r="J15" s="6">
        <x:v>38</x:v>
      </x:c>
      <x:c r="K15" s="5" t="s">
        <x:v>18</x:v>
      </x:c>
      <x:c r="L15" s="5"/>
      <x:c r="P15" s="5" t="s">
        <x:v>22</x:v>
      </x:c>
      <x:c r="Q15" s="7">
        <x:v>27</x:v>
      </x:c>
      <x:c r="R15" s="5" t="s">
        <x:v>18</x:v>
      </x:c>
      <x:c r="S15" s="5"/>
    </x:row>
    <x:row r="16">
      <x:c r="C16" s="5" t="s">
        <x:v>19</x:v>
      </x:c>
      <x:c r="D16" s="4" t="n">
        <x:f>SUM(D5+D7+G4)</x:f>
        <x:v>47</x:v>
      </x:c>
      <x:c r="E16" s="4"/>
      <x:c r="F16" s="4"/>
      <x:c r="I16" s="5" t="s">
        <x:v>23</x:v>
      </x:c>
      <x:c r="J16" s="6" t="n">
        <x:v>60</x:v>
      </x:c>
      <x:c r="K16" s="5" t="s">
        <x:v>24</x:v>
      </x:c>
      <x:c r="L16" s="5"/>
      <x:c r="P16" s="5" t="s">
        <x:v>11</x:v>
      </x:c>
      <x:c r="Q16" s="7">
        <x:v>10</x:v>
      </x:c>
      <x:c r="R16" s="5" t="s">
        <x:v>18</x:v>
      </x:c>
      <x:c r="S16" s="5"/>
    </x:row>
    <x:row r="17">
      <x:c r="A17" s="13" t="s">
        <x:v>14</x:v>
      </x:c>
      <x:c r="C17" s="5" t="s">
        <x:v>19</x:v>
      </x:c>
      <x:c r="D17" s="4" t="n">
        <x:f>SUM(D16/100)</x:f>
        <x:v>0.47</x:v>
      </x:c>
      <x:c r="E17" s="4"/>
      <x:c r="F17" s="4"/>
      <x:c r="I17" s="5" t="s">
        <x:v>25</x:v>
      </x:c>
      <x:c r="J17" s="6" t="n">
        <x:v>8900</x:v>
      </x:c>
      <x:c r="K17" s="5" t="s">
        <x:v>1</x:v>
      </x:c>
      <x:c r="L17" s="5" t="s">
        <x:v>6</x:v>
      </x:c>
      <x:c r="P17" s="5" t="s">
        <x:v>23</x:v>
      </x:c>
      <x:c r="Q17" s="7">
        <x:v>78</x:v>
      </x:c>
      <x:c r="R17" s="5" t="s">
        <x:v>24</x:v>
      </x:c>
      <x:c r="S17" s="5"/>
    </x:row>
    <x:row r="18">
      <x:c r="I18" s="5" t="s">
        <x:v>26</x:v>
      </x:c>
      <x:c r="J18" s="6">
        <x:v>2</x:v>
      </x:c>
      <x:c r="K18" s="5" t="s">
        <x:v>27</x:v>
      </x:c>
      <x:c r="L18" s="5"/>
      <x:c r="P18" s="5" t="s">
        <x:v>28</x:v>
      </x:c>
      <x:c r="Q18" s="7">
        <x:v>8900</x:v>
      </x:c>
      <x:c r="R18" s="5" t="s">
        <x:v>1</x:v>
      </x:c>
      <x:c r="S18" s="5" t="s">
        <x:v>6</x:v>
      </x:c>
    </x:row>
    <x:row r="19">
      <x:c r="P19" s="5" t="s">
        <x:v>4</x:v>
      </x:c>
      <x:c r="Q19" s="5">
        <x:v>3</x:v>
      </x:c>
      <x:c r="R19" s="5" t="s">
        <x:v>18</x:v>
      </x:c>
      <x:c r="S19" s="5"/>
    </x:row>
    <x:row r="20">
      <x:c r="C20" s="5" t="s">
        <x:v>29</x:v>
      </x:c>
      <x:c r="D20" s="5" t="s">
        <x:v>30</x:v>
      </x:c>
      <x:c r="I20" s="5" t="s">
        <x:v>17</x:v>
      </x:c>
      <x:c r="J20" s="10" t="n">
        <x:f>SUM(J14/100)</x:f>
        <x:v>0.05</x:v>
      </x:c>
      <x:c r="K20" s="5" t="s">
        <x:v>31</x:v>
      </x:c>
      <x:c r="L20" s="5"/>
      <x:c r="P20" s="5" t="s">
        <x:v>7</x:v>
      </x:c>
      <x:c r="Q20" s="5">
        <x:v>2</x:v>
      </x:c>
      <x:c r="R20" s="5" t="s">
        <x:v>18</x:v>
      </x:c>
      <x:c r="S20" s="5"/>
    </x:row>
    <x:row r="21">
      <x:c r="C21" s="5" t="s">
        <x:v>29</x:v>
      </x:c>
      <x:c r="D21" s="5" t="n">
        <x:f>SUM(D12*D17)</x:f>
        <x:v>0.32899999999999996</x:v>
      </x:c>
      <x:c r="I21" s="5" t="s">
        <x:v>21</x:v>
      </x:c>
      <x:c r="J21" s="10" t="n">
        <x:f>SUM(J15/100)</x:f>
        <x:v>0.38</x:v>
      </x:c>
      <x:c r="K21" s="5" t="s">
        <x:v>31</x:v>
      </x:c>
      <x:c r="L21" s="5"/>
    </x:row>
    <x:row r="22">
      <x:c r="I22" s="5" t="s">
        <x:v>23</x:v>
      </x:c>
      <x:c r="J22" s="10" t="n">
        <x:f>SUM(J16/1000000)</x:f>
        <x:v>0.00006</x:v>
      </x:c>
      <x:c r="K22" s="5" t="s">
        <x:v>6</x:v>
      </x:c>
      <x:c r="L22" s="5"/>
    </x:row>
    <x:row r="23">
      <x:c r="C23" s="5" t="s">
        <x:v>32</x:v>
      </x:c>
      <x:c r="D23" s="4" t="s">
        <x:v>33</x:v>
      </x:c>
      <x:c r="E23" s="4"/>
      <x:c r="I23" s="5" t="s">
        <x:v>25</x:v>
      </x:c>
      <x:c r="J23" s="10" t="n">
        <x:f>SUM(J17)</x:f>
        <x:v>8900</x:v>
      </x:c>
      <x:c r="K23" s="5" t="s">
        <x:v>1</x:v>
      </x:c>
      <x:c r="L23" s="5" t="s">
        <x:v>6</x:v>
      </x:c>
      <x:c r="P23" s="5" t="s">
        <x:v>17</x:v>
      </x:c>
      <x:c r="Q23" s="5" t="n">
        <x:f>SUM(Q14/100)</x:f>
        <x:v>0.35</x:v>
      </x:c>
      <x:c r="R23" s="5" t="s">
        <x:v>31</x:v>
      </x:c>
      <x:c r="S23" s="5"/>
    </x:row>
    <x:row r="24">
      <x:c r="C24" s="5" t="s">
        <x:v>32</x:v>
      </x:c>
      <x:c r="D24" s="4" t="n">
        <x:f>SUM(D21*G5)</x:f>
        <x:v>25.661999999999995</x:v>
      </x:c>
      <x:c r="E24" s="4"/>
      <x:c r="I24" s="5" t="s">
        <x:v>26</x:v>
      </x:c>
      <x:c r="J24" s="10" t="n">
        <x:f>SUM(J18)</x:f>
        <x:v>2</x:v>
      </x:c>
      <x:c r="K24" s="5" t="s">
        <x:v>27</x:v>
      </x:c>
      <x:c r="L24" s="5"/>
      <x:c r="P24" s="5" t="s">
        <x:v>22</x:v>
      </x:c>
      <x:c r="Q24" s="5" t="n">
        <x:f>SUM(Q15/100)</x:f>
        <x:v>0.27</x:v>
      </x:c>
      <x:c r="R24" s="5" t="s">
        <x:v>31</x:v>
      </x:c>
      <x:c r="S24" s="5"/>
    </x:row>
    <x:row r="25">
      <x:c r="A25" s="13" t="s">
        <x:v>34</x:v>
      </x:c>
      <x:c r="B25" s="13"/>
      <x:c r="C25" s="5" t="s">
        <x:v>35</x:v>
      </x:c>
      <x:c r="D25" s="1" t="n">
        <x:f>SUM(D24/1000)</x:f>
        <x:v>0.025661999999999994</x:v>
      </x:c>
      <x:c r="E25" s="3"/>
      <x:c r="I25" s="11"/>
      <x:c r="P25" s="5" t="s">
        <x:v>11</x:v>
      </x:c>
      <x:c r="Q25" s="5" t="n">
        <x:f>SUM(Q16/100)</x:f>
        <x:v>0.1</x:v>
      </x:c>
      <x:c r="R25" s="5" t="s">
        <x:v>31</x:v>
      </x:c>
      <x:c r="S25" s="5"/>
    </x:row>
    <x:row r="26">
      <x:c r="I26" s="4" t="s">
        <x:v>36</x:v>
      </x:c>
      <x:c r="J26" s="4"/>
      <x:c r="K26" s="4"/>
      <x:c r="L26" s="4"/>
      <x:c r="P26" s="5" t="s">
        <x:v>23</x:v>
      </x:c>
      <x:c r="Q26" s="5" t="n">
        <x:f>SUM(Q17/1000000)</x:f>
        <x:v>0.000078</x:v>
      </x:c>
      <x:c r="R26" s="5" t="s">
        <x:v>6</x:v>
      </x:c>
      <x:c r="S26" s="5"/>
    </x:row>
    <x:row r="27">
      <x:c r="I27" s="4" t="n">
        <x:f>SUM(J20*J21*J22*J23*J24)</x:f>
        <x:v>0.020292000000000004</x:v>
      </x:c>
      <x:c r="J27" s="4"/>
      <x:c r="K27" s="4"/>
      <x:c r="L27" s="4"/>
      <x:c r="P27" s="5" t="s">
        <x:v>28</x:v>
      </x:c>
      <x:c r="Q27" s="5">
        <x:v>8900</x:v>
      </x:c>
      <x:c r="R27" s="5" t="s">
        <x:v>1</x:v>
      </x:c>
      <x:c r="S27" s="5" t="s">
        <x:v>6</x:v>
      </x:c>
    </x:row>
    <x:row r="28">
      <x:c r="P28" s="5" t="s">
        <x:v>4</x:v>
      </x:c>
      <x:c r="Q28" s="5" t="n">
        <x:f>SUM(Q19/100)</x:f>
        <x:v>0.03</x:v>
      </x:c>
      <x:c r="R28" s="5" t="s">
        <x:v>31</x:v>
      </x:c>
      <x:c r="S28" s="5"/>
    </x:row>
    <x:row r="29">
      <x:c r="A29" s="13" t="s">
        <x:v>37</x:v>
      </x:c>
      <x:c r="B29" s="13"/>
      <x:c r="C29" s="5" t="s">
        <x:v>38</x:v>
      </x:c>
      <x:c r="D29" s="4" t="s">
        <x:v>39</x:v>
      </x:c>
      <x:c r="E29" s="4"/>
      <x:c r="F29" s="4"/>
      <x:c r="P29" s="5" t="s">
        <x:v>7</x:v>
      </x:c>
      <x:c r="Q29" s="5" t="n">
        <x:f>SUM(Q20/100)</x:f>
        <x:v>0.02</x:v>
      </x:c>
      <x:c r="R29" s="5" t="s">
        <x:v>31</x:v>
      </x:c>
      <x:c r="S29" s="5"/>
    </x:row>
    <x:row r="30">
      <x:c r="C30" s="5" t="s">
        <x:v>38</x:v>
      </x:c>
      <x:c r="D30" s="4" t="n">
        <x:f>SUM(D25*J3/1000)</x:f>
        <x:v>0.22839179999999992</x:v>
      </x:c>
      <x:c r="E30" s="4"/>
      <x:c r="F30" s="4"/>
    </x:row>
    <x:row r="31">
      <x:c r="P31" s="13" t="s">
        <x:v>40</x:v>
      </x:c>
      <x:c r="Q31" s="13"/>
      <x:c r="R31" s="13"/>
      <x:c r="S31" s="13"/>
    </x:row>
    <x:row r="32">
      <x:c r="P32" s="13" t="s">
        <x:v>41</x:v>
      </x:c>
      <x:c r="Q32" s="13"/>
      <x:c r="R32" s="13"/>
      <x:c r="S32" s="13"/>
    </x:row>
    <x:row r="33">
      <x:c r="P33" s="13" t="s">
        <x:v>42</x:v>
      </x:c>
      <x:c r="Q33" s="13"/>
      <x:c r="R33" s="13"/>
      <x:c r="S33" s="13"/>
    </x:row>
    <x:row r="34">
      <x:c r="P34" s="13" t="s">
        <x:v>43</x:v>
      </x:c>
      <x:c r="Q34" s="13"/>
      <x:c r="R34" s="13"/>
      <x:c r="S34" s="13"/>
    </x:row>
    <x:row r="35">
      <x:c r="P35" s="13" t="s">
        <x:v>44</x:v>
      </x:c>
      <x:c r="Q35" s="13"/>
      <x:c r="R35" s="13"/>
      <x:c r="S35" s="13"/>
    </x:row>
    <x:row r="37">
      <x:c r="O37" s="13" t="s">
        <x:v>45</x:v>
      </x:c>
      <x:c r="P37" s="13"/>
      <x:c r="Q37" s="13"/>
      <x:c r="R37" s="13"/>
      <x:c r="S37" s="13"/>
      <x:c r="T37" s="13"/>
    </x:row>
    <x:row r="38">
      <x:c r="O38" s="13" t="n">
        <x:f>SUM((Q24*2+Q25+Q28*2)*(Q23+Q25+Q29)*Q26*Q27)</x:f>
        <x:v>0.22839179999999995</x:v>
      </x:c>
      <x:c r="P38" s="13"/>
      <x:c r="Q38" s="13"/>
      <x:c r="R38" s="13"/>
      <x:c r="S38" s="13"/>
      <x:c r="T38" s="13"/>
    </x:row>
  </x:sheetData>
  <x:mergeCells>
    <x:mergeCell ref="F2:G2"/>
    <x:mergeCell ref="D10:F10"/>
    <x:mergeCell ref="D11:F11"/>
    <x:mergeCell ref="A12:B12"/>
    <x:mergeCell ref="D12:F12"/>
    <x:mergeCell ref="I13:L13"/>
    <x:mergeCell ref="P13:S13"/>
    <x:mergeCell ref="D15:F15"/>
    <x:mergeCell ref="D16:F16"/>
    <x:mergeCell ref="A17:B17"/>
    <x:mergeCell ref="D17:F17"/>
    <x:mergeCell ref="D23:E23"/>
    <x:mergeCell ref="D24:E24"/>
    <x:mergeCell ref="A25:B25"/>
    <x:mergeCell ref="D25:E25"/>
    <x:mergeCell ref="I26:L26"/>
    <x:mergeCell ref="I27:L27"/>
    <x:mergeCell ref="A29:B29"/>
    <x:mergeCell ref="D29:F29"/>
    <x:mergeCell ref="D30:F30"/>
    <x:mergeCell ref="P31:S31"/>
    <x:mergeCell ref="P32:S32"/>
    <x:mergeCell ref="P33:S33"/>
    <x:mergeCell ref="P34:S34"/>
    <x:mergeCell ref="P35:S35"/>
    <x:mergeCell ref="O37:T37"/>
    <x:mergeCell ref="O38:T38"/>
    <x:mergeCell ref="C3:D4"/>
  </x:mergeCells>
  <x:pageMargins left="0.7" right="0.7" top="0.75" bottom="0.75" header="0.3" footer="0.3"/>
  <x:legacyDrawing xmlns:r="http://schemas.openxmlformats.org/officeDocument/2006/relationships" r:id="Re897e58d08164913"/>
</x:worksheet>
</file>

<file path=xl/worksheets/sheet2.xml><?xml version="1.0" encoding="utf-8"?>
<x:worksheet xmlns:x="http://schemas.openxmlformats.org/spreadsheetml/2006/main">
  <x:sheetFormatPr defaultColWidth="9" defaultRowHeight="14.399999618530273"/>
  <x:sheetData>
    <x:row r="15">
      <x:c r="E15" s="1" t="s">
        <x:v>15</x:v>
      </x:c>
      <x:c r="F15" s="2"/>
      <x:c r="G15" s="2"/>
      <x:c r="H15" s="3"/>
      <x:c r="L15" s="4" t="s">
        <x:v>16</x:v>
      </x:c>
      <x:c r="M15" s="4"/>
      <x:c r="N15" s="4"/>
      <x:c r="O15" s="4"/>
    </x:row>
    <x:row r="16">
      <x:c r="E16" s="5" t="s">
        <x:v>17</x:v>
      </x:c>
      <x:c r="F16" s="6">
        <x:v>5</x:v>
      </x:c>
      <x:c r="G16" s="5" t="s">
        <x:v>18</x:v>
      </x:c>
      <x:c r="H16" s="5"/>
      <x:c r="L16" s="5" t="s">
        <x:v>17</x:v>
      </x:c>
      <x:c r="M16" s="7">
        <x:v>35</x:v>
      </x:c>
      <x:c r="N16" s="5" t="s">
        <x:v>18</x:v>
      </x:c>
      <x:c r="O16" s="5"/>
    </x:row>
    <x:row r="17">
      <x:c r="E17" s="5" t="s">
        <x:v>21</x:v>
      </x:c>
      <x:c r="F17" s="6">
        <x:v>38</x:v>
      </x:c>
      <x:c r="G17" s="5" t="s">
        <x:v>18</x:v>
      </x:c>
      <x:c r="H17" s="5"/>
      <x:c r="L17" s="5" t="s">
        <x:v>22</x:v>
      </x:c>
      <x:c r="M17" s="7">
        <x:v>27</x:v>
      </x:c>
      <x:c r="N17" s="5" t="s">
        <x:v>18</x:v>
      </x:c>
      <x:c r="O17" s="5"/>
    </x:row>
    <x:row r="18">
      <x:c r="E18" s="5" t="s">
        <x:v>23</x:v>
      </x:c>
      <x:c r="F18" s="6" t="n">
        <x:v>60</x:v>
      </x:c>
      <x:c r="G18" s="5" t="s">
        <x:v>24</x:v>
      </x:c>
      <x:c r="H18" s="5"/>
      <x:c r="L18" s="5" t="s">
        <x:v>11</x:v>
      </x:c>
      <x:c r="M18" s="7">
        <x:v>10</x:v>
      </x:c>
      <x:c r="N18" s="5" t="s">
        <x:v>18</x:v>
      </x:c>
      <x:c r="O18" s="5"/>
    </x:row>
    <x:row r="19">
      <x:c r="E19" s="5" t="s">
        <x:v>25</x:v>
      </x:c>
      <x:c r="F19" s="6" t="n">
        <x:v>8900</x:v>
      </x:c>
      <x:c r="G19" s="5" t="s">
        <x:v>1</x:v>
      </x:c>
      <x:c r="H19" s="5" t="s">
        <x:v>6</x:v>
      </x:c>
      <x:c r="L19" s="5" t="s">
        <x:v>23</x:v>
      </x:c>
      <x:c r="M19" s="7">
        <x:v>78</x:v>
      </x:c>
      <x:c r="N19" s="5" t="s">
        <x:v>24</x:v>
      </x:c>
      <x:c r="O19" s="5"/>
    </x:row>
    <x:row r="20">
      <x:c r="E20" s="5" t="s">
        <x:v>26</x:v>
      </x:c>
      <x:c r="F20" s="6">
        <x:v>2</x:v>
      </x:c>
      <x:c r="G20" s="5" t="s">
        <x:v>27</x:v>
      </x:c>
      <x:c r="H20" s="5"/>
      <x:c r="L20" s="5" t="s">
        <x:v>28</x:v>
      </x:c>
      <x:c r="M20" s="7">
        <x:v>8900</x:v>
      </x:c>
      <x:c r="N20" s="5" t="s">
        <x:v>1</x:v>
      </x:c>
      <x:c r="O20" s="5" t="s">
        <x:v>6</x:v>
      </x:c>
    </x:row>
    <x:row r="21">
      <x:c r="L21" s="5" t="s">
        <x:v>4</x:v>
      </x:c>
      <x:c r="M21" s="5">
        <x:v>3</x:v>
      </x:c>
      <x:c r="N21" s="5" t="s">
        <x:v>18</x:v>
      </x:c>
      <x:c r="O21" s="5"/>
    </x:row>
    <x:row r="22">
      <x:c r="E22" s="5" t="s">
        <x:v>17</x:v>
      </x:c>
      <x:c r="F22" s="10" t="n">
        <x:f>SUM(F16/100)</x:f>
        <x:v>0.05</x:v>
      </x:c>
      <x:c r="G22" s="5" t="s">
        <x:v>31</x:v>
      </x:c>
      <x:c r="H22" s="5"/>
      <x:c r="L22" s="5" t="s">
        <x:v>7</x:v>
      </x:c>
      <x:c r="M22" s="5">
        <x:v>2</x:v>
      </x:c>
      <x:c r="N22" s="5" t="s">
        <x:v>18</x:v>
      </x:c>
      <x:c r="O22" s="5"/>
    </x:row>
    <x:row r="23">
      <x:c r="E23" s="5" t="s">
        <x:v>21</x:v>
      </x:c>
      <x:c r="F23" s="10" t="n">
        <x:f>SUM(F17/100)</x:f>
        <x:v>0.38</x:v>
      </x:c>
      <x:c r="G23" s="5" t="s">
        <x:v>31</x:v>
      </x:c>
      <x:c r="H23" s="5"/>
    </x:row>
    <x:row r="24">
      <x:c r="E24" s="5" t="s">
        <x:v>23</x:v>
      </x:c>
      <x:c r="F24" s="10" t="n">
        <x:f>SUM(F18/1000000)</x:f>
        <x:v>0.00006</x:v>
      </x:c>
      <x:c r="G24" s="5" t="s">
        <x:v>6</x:v>
      </x:c>
      <x:c r="H24" s="5"/>
    </x:row>
    <x:row r="25">
      <x:c r="E25" s="5" t="s">
        <x:v>25</x:v>
      </x:c>
      <x:c r="F25" s="10" t="n">
        <x:f>SUM(F19)</x:f>
        <x:v>8900</x:v>
      </x:c>
      <x:c r="G25" s="5" t="s">
        <x:v>1</x:v>
      </x:c>
      <x:c r="H25" s="5" t="s">
        <x:v>6</x:v>
      </x:c>
      <x:c r="L25" s="5" t="s">
        <x:v>17</x:v>
      </x:c>
      <x:c r="M25" s="5" t="n">
        <x:f t="shared" ref="M25:M27" si="0">SUM(M16/100)</x:f>
        <x:v>0.35</x:v>
      </x:c>
      <x:c r="N25" s="5" t="s">
        <x:v>31</x:v>
      </x:c>
      <x:c r="O25" s="5"/>
    </x:row>
    <x:row r="26">
      <x:c r="E26" s="5" t="s">
        <x:v>26</x:v>
      </x:c>
      <x:c r="F26" s="10" t="n">
        <x:f>SUM(F20)</x:f>
        <x:v>2</x:v>
      </x:c>
      <x:c r="G26" s="5" t="s">
        <x:v>27</x:v>
      </x:c>
      <x:c r="H26" s="5"/>
      <x:c r="L26" s="5" t="s">
        <x:v>22</x:v>
      </x:c>
      <x:c r="M26" s="5">
        <x:f t="shared" si="0"/>
        <x:v>0.27</x:v>
      </x:c>
      <x:c r="N26" s="5" t="s">
        <x:v>31</x:v>
      </x:c>
      <x:c r="O26" s="5"/>
    </x:row>
    <x:row r="27">
      <x:c r="E27" s="11"/>
      <x:c r="L27" s="5" t="s">
        <x:v>11</x:v>
      </x:c>
      <x:c r="M27" s="5">
        <x:f t="shared" si="0"/>
        <x:v>0.1</x:v>
      </x:c>
      <x:c r="N27" s="5" t="s">
        <x:v>31</x:v>
      </x:c>
      <x:c r="O27" s="5"/>
    </x:row>
    <x:row r="28">
      <x:c r="E28" s="4" t="s">
        <x:v>36</x:v>
      </x:c>
      <x:c r="F28" s="4"/>
      <x:c r="G28" s="4"/>
      <x:c r="H28" s="4"/>
      <x:c r="L28" s="5" t="s">
        <x:v>23</x:v>
      </x:c>
      <x:c r="M28" s="5" t="n">
        <x:f>SUM(M19/1000000)</x:f>
        <x:v>0.000078</x:v>
      </x:c>
      <x:c r="N28" s="5" t="s">
        <x:v>6</x:v>
      </x:c>
      <x:c r="O28" s="5"/>
    </x:row>
    <x:row r="29">
      <x:c r="E29" s="12" t="n">
        <x:f>SUM(F22*F23*F24*F25*F26)</x:f>
        <x:v>0.020292000000000004</x:v>
      </x:c>
      <x:c r="F29" s="12"/>
      <x:c r="G29" s="12"/>
      <x:c r="H29" s="12"/>
      <x:c r="L29" s="5" t="s">
        <x:v>28</x:v>
      </x:c>
      <x:c r="M29" s="5">
        <x:v>8900</x:v>
      </x:c>
      <x:c r="N29" s="5" t="s">
        <x:v>1</x:v>
      </x:c>
      <x:c r="O29" s="5" t="s">
        <x:v>6</x:v>
      </x:c>
    </x:row>
    <x:row r="30">
      <x:c r="L30" s="5" t="s">
        <x:v>4</x:v>
      </x:c>
      <x:c r="M30" s="5" t="n">
        <x:f>SUM(M21/100)</x:f>
        <x:v>0.03</x:v>
      </x:c>
      <x:c r="N30" s="5" t="s">
        <x:v>31</x:v>
      </x:c>
      <x:c r="O30" s="5"/>
    </x:row>
    <x:row r="31">
      <x:c r="E31" s="13"/>
      <x:c r="F31" s="13"/>
      <x:c r="G31" s="13"/>
      <x:c r="H31" s="13"/>
      <x:c r="L31" s="5" t="s">
        <x:v>7</x:v>
      </x:c>
      <x:c r="M31" s="5" t="n">
        <x:f>SUM(M22/100)</x:f>
        <x:v>0.02</x:v>
      </x:c>
      <x:c r="N31" s="5" t="s">
        <x:v>31</x:v>
      </x:c>
      <x:c r="O31" s="5"/>
    </x:row>
    <x:row r="33">
      <x:c r="L33" s="13" t="s">
        <x:v>40</x:v>
      </x:c>
      <x:c r="M33" s="13"/>
      <x:c r="N33" s="13"/>
      <x:c r="O33" s="13"/>
    </x:row>
    <x:row r="34">
      <x:c r="L34" s="13" t="s">
        <x:v>41</x:v>
      </x:c>
      <x:c r="M34" s="13"/>
      <x:c r="N34" s="13"/>
      <x:c r="O34" s="13"/>
    </x:row>
    <x:row r="35">
      <x:c r="L35" s="13" t="s">
        <x:v>42</x:v>
      </x:c>
      <x:c r="M35" s="13"/>
      <x:c r="N35" s="13"/>
      <x:c r="O35" s="13"/>
    </x:row>
    <x:row r="36">
      <x:c r="L36" s="13" t="s">
        <x:v>43</x:v>
      </x:c>
      <x:c r="M36" s="13"/>
      <x:c r="N36" s="13"/>
      <x:c r="O36" s="13"/>
    </x:row>
    <x:row r="37">
      <x:c r="L37" s="13" t="s">
        <x:v>44</x:v>
      </x:c>
      <x:c r="M37" s="13"/>
      <x:c r="N37" s="13"/>
      <x:c r="O37" s="13"/>
    </x:row>
    <x:row r="39">
      <x:c r="K39" s="13" t="s">
        <x:v>45</x:v>
      </x:c>
      <x:c r="L39" s="13"/>
      <x:c r="M39" s="13"/>
      <x:c r="N39" s="13"/>
      <x:c r="O39" s="13"/>
      <x:c r="P39" s="13"/>
    </x:row>
    <x:row r="40">
      <x:c r="K40" s="14" t="n">
        <x:f>SUM((M26*2+M27+M30*2)*(M25+M27+M31)*M28*M29)</x:f>
        <x:v>0.22839179999999995</x:v>
      </x:c>
      <x:c r="L40" s="14"/>
      <x:c r="M40" s="14"/>
      <x:c r="N40" s="14"/>
      <x:c r="O40" s="14"/>
      <x:c r="P40" s="14"/>
    </x:row>
  </x:sheetData>
  <x:mergeCells>
    <x:mergeCell ref="E15:H15"/>
    <x:mergeCell ref="L15:O15"/>
    <x:mergeCell ref="E28:H28"/>
    <x:mergeCell ref="E29:H29"/>
    <x:mergeCell ref="E31:H31"/>
    <x:mergeCell ref="L33:O33"/>
    <x:mergeCell ref="L34:O34"/>
    <x:mergeCell ref="L35:O35"/>
    <x:mergeCell ref="L36:O36"/>
    <x:mergeCell ref="L37:O37"/>
    <x:mergeCell ref="K39:P39"/>
    <x:mergeCell ref="K40:P40"/>
  </x:mergeCells>
  <x:pageMargins left="0.7" right="0.7" top="0.75" bottom="0.75" header="0.3" footer="0.3"/>
  <x:legacyDrawing xmlns:r="http://schemas.openxmlformats.org/officeDocument/2006/relationships" r:id="Re5f29bd7e3ff4593"/>
</x:worksheet>
</file>

<file path=xl/worksheets/sheet3.xml><?xml version="1.0" encoding="utf-8"?>
<x:worksheet xmlns:x="http://schemas.openxmlformats.org/spreadsheetml/2006/main">
  <x:sheetFormatPr defaultColWidth="9" defaultRowHeight="14.399999618530273"/>
  <x:cols>
    <x:col min="2" max="2" width="14.018518447875977" customWidth="1"/>
    <x:col min="3" max="3" width="11.30555534362793" customWidth="1"/>
    <x:col min="4" max="4" width="7.416666507720947" customWidth="1"/>
    <x:col min="7" max="8" width="9" customWidth="1"/>
    <x:col min="9" max="9" width="19.787036895751953" customWidth="1"/>
    <x:col min="17" max="17" width="17.981481552124023" customWidth="1"/>
  </x:cols>
  <x:sheetData>
    <x:row r="3">
      <x:c r="K3" s="1" t="s">
        <x:v>15</x:v>
      </x:c>
      <x:c r="L3" s="2"/>
      <x:c r="M3" s="2"/>
      <x:c r="N3" s="3"/>
      <x:c r="P3" s="4" t="s">
        <x:v>16</x:v>
      </x:c>
      <x:c r="Q3" s="4"/>
      <x:c r="R3" s="4"/>
      <x:c r="S3" s="4"/>
    </x:row>
    <x:row r="4">
      <x:c r="K4" s="5" t="s">
        <x:v>17</x:v>
      </x:c>
      <x:c r="L4" s="6">
        <x:v>5</x:v>
      </x:c>
      <x:c r="M4" s="5" t="s">
        <x:v>18</x:v>
      </x:c>
      <x:c r="N4" s="5"/>
      <x:c r="P4" s="5" t="s">
        <x:v>17</x:v>
      </x:c>
      <x:c r="Q4" s="7">
        <x:v>35</x:v>
      </x:c>
      <x:c r="R4" s="5" t="s">
        <x:v>18</x:v>
      </x:c>
      <x:c r="S4" s="5"/>
    </x:row>
    <x:row r="5">
      <x:c r="K5" s="5" t="s">
        <x:v>21</x:v>
      </x:c>
      <x:c r="L5" s="6">
        <x:v>38</x:v>
      </x:c>
      <x:c r="M5" s="5" t="s">
        <x:v>18</x:v>
      </x:c>
      <x:c r="N5" s="5"/>
      <x:c r="P5" s="5" t="s">
        <x:v>22</x:v>
      </x:c>
      <x:c r="Q5" s="7">
        <x:v>27</x:v>
      </x:c>
      <x:c r="R5" s="5" t="s">
        <x:v>18</x:v>
      </x:c>
      <x:c r="S5" s="5"/>
    </x:row>
    <x:row r="6">
      <x:c r="B6" t="s">
        <x:v>46</x:v>
      </x:c>
      <x:c r="C6" t="s">
        <x:v>47</x:v>
      </x:c>
      <x:c r="D6" t="s">
        <x:v>48</x:v>
      </x:c>
      <x:c r="E6" t="s">
        <x:v>49</x:v>
      </x:c>
      <x:c r="F6" t="s">
        <x:v>50</x:v>
      </x:c>
      <x:c r="G6" t="s">
        <x:v>51</x:v>
      </x:c>
      <x:c r="H6" t="s">
        <x:v>52</x:v>
      </x:c>
      <x:c r="I6" t="s">
        <x:v>53</x:v>
      </x:c>
      <x:c r="K6" s="5" t="s">
        <x:v>23</x:v>
      </x:c>
      <x:c r="L6" s="6" t="n">
        <x:v>60</x:v>
      </x:c>
      <x:c r="M6" s="5" t="s">
        <x:v>24</x:v>
      </x:c>
      <x:c r="N6" s="5"/>
      <x:c r="P6" s="5" t="s">
        <x:v>11</x:v>
      </x:c>
      <x:c r="Q6" s="7">
        <x:v>10</x:v>
      </x:c>
      <x:c r="R6" s="5" t="s">
        <x:v>18</x:v>
      </x:c>
      <x:c r="S6" s="5"/>
    </x:row>
    <x:row r="7">
      <x:c r="A7" t="s">
        <x:v>54</x:v>
      </x:c>
      <x:c r="B7" s="8">
        <x:v>46072</x:v>
      </x:c>
      <x:c r="C7" t="s">
        <x:v>55</x:v>
      </x:c>
      <x:c r="D7" t="s">
        <x:v>56</x:v>
      </x:c>
      <x:c r="E7">
        <x:v>20000</x:v>
      </x:c>
      <x:c r="F7">
        <x:v>0.3</x:v>
      </x:c>
      <x:c r="G7" s="9"/>
      <x:c r="K7" s="5" t="s">
        <x:v>25</x:v>
      </x:c>
      <x:c r="L7" s="6" t="n">
        <x:v>8900</x:v>
      </x:c>
      <x:c r="M7" s="5" t="s">
        <x:v>1</x:v>
      </x:c>
      <x:c r="N7" s="5" t="s">
        <x:v>6</x:v>
      </x:c>
      <x:c r="P7" s="5" t="s">
        <x:v>23</x:v>
      </x:c>
      <x:c r="Q7" s="7">
        <x:v>78</x:v>
      </x:c>
      <x:c r="R7" s="5" t="s">
        <x:v>24</x:v>
      </x:c>
      <x:c r="S7" s="5"/>
    </x:row>
    <x:row r="8">
      <x:c r="B8" s="8">
        <x:v>46072</x:v>
      </x:c>
      <x:c r="C8" t="s">
        <x:v>55</x:v>
      </x:c>
      <x:c r="D8" t="s">
        <x:v>57</x:v>
      </x:c>
      <x:c r="E8">
        <x:v>8000</x:v>
      </x:c>
      <x:c r="G8" s="9"/>
      <x:c r="K8" s="5" t="s">
        <x:v>26</x:v>
      </x:c>
      <x:c r="L8" s="6">
        <x:v>2</x:v>
      </x:c>
      <x:c r="M8" s="5" t="s">
        <x:v>27</x:v>
      </x:c>
      <x:c r="N8" s="5"/>
      <x:c r="P8" s="5" t="s">
        <x:v>28</x:v>
      </x:c>
      <x:c r="Q8" s="7">
        <x:v>8900</x:v>
      </x:c>
      <x:c r="R8" s="5" t="s">
        <x:v>1</x:v>
      </x:c>
      <x:c r="S8" s="5" t="s">
        <x:v>6</x:v>
      </x:c>
    </x:row>
    <x:row r="9">
      <x:c r="B9" s="8">
        <x:v>46074</x:v>
      </x:c>
      <x:c r="G9" s="9"/>
      <x:c r="P9" s="5" t="s">
        <x:v>4</x:v>
      </x:c>
      <x:c r="Q9" s="5">
        <x:v>3</x:v>
      </x:c>
      <x:c r="R9" s="5" t="s">
        <x:v>18</x:v>
      </x:c>
      <x:c r="S9" s="5"/>
    </x:row>
    <x:row r="10">
      <x:c r="B10" s="8">
        <x:v>46075</x:v>
      </x:c>
      <x:c r="G10" s="9"/>
      <x:c r="K10" s="5" t="s">
        <x:v>17</x:v>
      </x:c>
      <x:c r="L10" s="10" t="n">
        <x:f>SUM(L4/100)</x:f>
        <x:v>0.05</x:v>
      </x:c>
      <x:c r="M10" s="5" t="s">
        <x:v>31</x:v>
      </x:c>
      <x:c r="N10" s="5"/>
      <x:c r="P10" s="5" t="s">
        <x:v>7</x:v>
      </x:c>
      <x:c r="Q10" s="5">
        <x:v>2</x:v>
      </x:c>
      <x:c r="R10" s="5" t="s">
        <x:v>18</x:v>
      </x:c>
      <x:c r="S10" s="5"/>
    </x:row>
    <x:row r="11">
      <x:c r="B11" s="8">
        <x:v>46076</x:v>
      </x:c>
      <x:c r="G11" s="9"/>
      <x:c r="K11" s="5" t="s">
        <x:v>21</x:v>
      </x:c>
      <x:c r="L11" s="10" t="n">
        <x:f>SUM(L5/100)</x:f>
        <x:v>0.38</x:v>
      </x:c>
      <x:c r="M11" s="5" t="s">
        <x:v>31</x:v>
      </x:c>
      <x:c r="N11" s="5"/>
    </x:row>
    <x:row r="12">
      <x:c r="B12" s="8">
        <x:v>46077</x:v>
      </x:c>
      <x:c r="G12" s="9"/>
      <x:c r="K12" s="5" t="s">
        <x:v>23</x:v>
      </x:c>
      <x:c r="L12" s="10" t="n">
        <x:f>SUM(L6/1000000)</x:f>
        <x:v>0.00006</x:v>
      </x:c>
      <x:c r="M12" s="5" t="s">
        <x:v>6</x:v>
      </x:c>
      <x:c r="N12" s="5"/>
    </x:row>
    <x:row r="13">
      <x:c r="B13" s="8">
        <x:v>46078</x:v>
      </x:c>
      <x:c r="G13" s="9"/>
      <x:c r="K13" s="5" t="s">
        <x:v>25</x:v>
      </x:c>
      <x:c r="L13" s="10" t="n">
        <x:f>SUM(L7)</x:f>
        <x:v>8900</x:v>
      </x:c>
      <x:c r="M13" s="5" t="s">
        <x:v>1</x:v>
      </x:c>
      <x:c r="N13" s="5" t="s">
        <x:v>6</x:v>
      </x:c>
      <x:c r="P13" s="5" t="s">
        <x:v>17</x:v>
      </x:c>
      <x:c r="Q13" s="5" t="n">
        <x:f t="shared" ref="Q13:Q15" si="0">SUM(Q4/100)</x:f>
        <x:v>0.35</x:v>
      </x:c>
      <x:c r="R13" s="5" t="s">
        <x:v>31</x:v>
      </x:c>
      <x:c r="S13" s="5"/>
    </x:row>
    <x:row r="14">
      <x:c r="B14" s="8">
        <x:v>46079</x:v>
      </x:c>
      <x:c r="G14" s="9"/>
      <x:c r="K14" s="5" t="s">
        <x:v>26</x:v>
      </x:c>
      <x:c r="L14" s="10" t="n">
        <x:f>SUM(L8)</x:f>
        <x:v>2</x:v>
      </x:c>
      <x:c r="M14" s="5" t="s">
        <x:v>27</x:v>
      </x:c>
      <x:c r="N14" s="5"/>
      <x:c r="P14" s="5" t="s">
        <x:v>22</x:v>
      </x:c>
      <x:c r="Q14" s="5">
        <x:f t="shared" si="0"/>
        <x:v>0.27</x:v>
      </x:c>
      <x:c r="R14" s="5" t="s">
        <x:v>31</x:v>
      </x:c>
      <x:c r="S14" s="5"/>
    </x:row>
    <x:row r="15">
      <x:c r="B15" s="8">
        <x:v>46080</x:v>
      </x:c>
      <x:c r="G15" s="9"/>
      <x:c r="K15" s="11"/>
      <x:c r="P15" s="5" t="s">
        <x:v>11</x:v>
      </x:c>
      <x:c r="Q15" s="5">
        <x:f t="shared" si="0"/>
        <x:v>0.1</x:v>
      </x:c>
      <x:c r="R15" s="5" t="s">
        <x:v>31</x:v>
      </x:c>
      <x:c r="S15" s="5"/>
    </x:row>
    <x:row r="16">
      <x:c r="B16" s="8">
        <x:v>46081</x:v>
      </x:c>
      <x:c r="G16" s="9"/>
      <x:c r="K16" s="4" t="s">
        <x:v>36</x:v>
      </x:c>
      <x:c r="L16" s="4"/>
      <x:c r="M16" s="4"/>
      <x:c r="N16" s="4"/>
      <x:c r="P16" s="5" t="s">
        <x:v>23</x:v>
      </x:c>
      <x:c r="Q16" s="5" t="n">
        <x:f>SUM(Q7/1000000)</x:f>
        <x:v>0.000078</x:v>
      </x:c>
      <x:c r="R16" s="5" t="s">
        <x:v>6</x:v>
      </x:c>
      <x:c r="S16" s="5"/>
    </x:row>
    <x:row r="17">
      <x:c r="B17" s="8"/>
      <x:c r="K17" s="12" t="n">
        <x:f>SUM(L10*L11*L12*L13*L14)</x:f>
        <x:v>0.020292000000000004</x:v>
      </x:c>
      <x:c r="L17" s="12"/>
      <x:c r="M17" s="12"/>
      <x:c r="N17" s="12"/>
      <x:c r="P17" s="5" t="s">
        <x:v>28</x:v>
      </x:c>
      <x:c r="Q17" s="5">
        <x:v>8900</x:v>
      </x:c>
      <x:c r="R17" s="5" t="s">
        <x:v>1</x:v>
      </x:c>
      <x:c r="S17" s="5" t="s">
        <x:v>6</x:v>
      </x:c>
    </x:row>
    <x:row r="18">
      <x:c r="B18" s="8"/>
      <x:c r="P18" s="5" t="s">
        <x:v>4</x:v>
      </x:c>
      <x:c r="Q18" s="5" t="n">
        <x:f>SUM(Q9/100)</x:f>
        <x:v>0.03</x:v>
      </x:c>
      <x:c r="R18" s="5" t="s">
        <x:v>31</x:v>
      </x:c>
      <x:c r="S18" s="5"/>
    </x:row>
    <x:row r="19">
      <x:c r="B19" s="8"/>
      <x:c r="K19" s="13"/>
      <x:c r="L19" s="13"/>
      <x:c r="M19" s="13"/>
      <x:c r="N19" s="13"/>
      <x:c r="P19" s="5" t="s">
        <x:v>7</x:v>
      </x:c>
      <x:c r="Q19" s="5" t="n">
        <x:f>SUM(Q10/100)</x:f>
        <x:v>0.02</x:v>
      </x:c>
      <x:c r="R19" s="5" t="s">
        <x:v>31</x:v>
      </x:c>
      <x:c r="S19" s="5"/>
    </x:row>
    <x:row r="20">
      <x:c r="B20" s="8"/>
    </x:row>
    <x:row r="21">
      <x:c r="B21" s="8"/>
      <x:c r="P21" s="13" t="s">
        <x:v>40</x:v>
      </x:c>
      <x:c r="Q21" s="13"/>
      <x:c r="R21" s="13"/>
      <x:c r="S21" s="13"/>
    </x:row>
    <x:row r="22">
      <x:c r="B22" s="8"/>
      <x:c r="P22" s="13" t="s">
        <x:v>41</x:v>
      </x:c>
      <x:c r="Q22" s="13"/>
      <x:c r="R22" s="13"/>
      <x:c r="S22" s="13"/>
    </x:row>
    <x:row r="23">
      <x:c r="B23" s="8"/>
      <x:c r="P23" s="13" t="s">
        <x:v>42</x:v>
      </x:c>
      <x:c r="Q23" s="13"/>
      <x:c r="R23" s="13"/>
      <x:c r="S23" s="13"/>
    </x:row>
    <x:row r="24">
      <x:c r="B24" s="8"/>
      <x:c r="P24" s="13" t="s">
        <x:v>43</x:v>
      </x:c>
      <x:c r="Q24" s="13"/>
      <x:c r="R24" s="13"/>
      <x:c r="S24" s="13"/>
    </x:row>
    <x:row r="25">
      <x:c r="P25" s="13" t="s">
        <x:v>44</x:v>
      </x:c>
      <x:c r="Q25" s="13"/>
      <x:c r="R25" s="13"/>
      <x:c r="S25" s="13"/>
    </x:row>
    <x:row r="27">
      <x:c r="O27" s="13" t="s">
        <x:v>45</x:v>
      </x:c>
      <x:c r="P27" s="13"/>
      <x:c r="Q27" s="13"/>
      <x:c r="R27" s="13"/>
      <x:c r="S27" s="13"/>
      <x:c r="T27" s="13"/>
    </x:row>
    <x:row r="28">
      <x:c r="O28" s="14" t="n">
        <x:f>SUM((Q14*2+Q15+Q18*2)*(Q13+Q15+Q19)*Q16*Q17)</x:f>
        <x:v>0.22839179999999995</x:v>
      </x:c>
      <x:c r="P28" s="14"/>
      <x:c r="Q28" s="14"/>
      <x:c r="R28" s="14"/>
      <x:c r="S28" s="14"/>
      <x:c r="T28" s="14"/>
    </x:row>
  </x:sheetData>
  <x:mergeCells>
    <x:mergeCell ref="K3:N3"/>
    <x:mergeCell ref="P3:S3"/>
    <x:mergeCell ref="K16:N16"/>
    <x:mergeCell ref="K17:N17"/>
    <x:mergeCell ref="K19:N19"/>
    <x:mergeCell ref="P21:S21"/>
    <x:mergeCell ref="P22:S22"/>
    <x:mergeCell ref="P23:S23"/>
    <x:mergeCell ref="P24:S24"/>
    <x:mergeCell ref="P25:S25"/>
    <x:mergeCell ref="O27:T27"/>
    <x:mergeCell ref="O28:T28"/>
  </x:mergeCells>
  <x:pageMargins left="0.7" right="0.7" top="0.75" bottom="0.75" header="0.3" footer="0.3"/>
  <x:legacyDrawing xmlns:r="http://schemas.openxmlformats.org/officeDocument/2006/relationships" r:id="R4dcc895a4d0b4cf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3" hidden="0" customWidth="1"/>
    <x:col min="4" max="4" width="24" hidden="0" customWidth="1"/>
    <x:col min="5" max="5" width="18" hidden="0" customWidth="1"/>
    <x:col min="6" max="6" width="20" hidden="0" customWidth="1"/>
    <x:col min="7" max="7" width="18" hidden="0" customWidth="1"/>
    <x:col min="8" max="8" width="22" hidden="0" customWidth="1"/>
  </x:cols>
  <x:sheetData>
    <x:row r="1" ht="22" customHeight="1">
      <x:c r="A1" s="61" t="str">
        <x:v>特殊型号统一报价测算</x:v>
      </x:c>
      <x:c r="B1" s="61"/>
      <x:c r="C1" s="61"/>
      <x:c r="D1" s="61"/>
      <x:c r="E1" s="61"/>
      <x:c r="F1" s="61"/>
      <x:c r="G1" s="61"/>
      <x:c r="H1" s="61"/>
    </x:row>
    <x:row r="2" ht="22" customHeight="1">
      <x:c r="A2" s="62" t="str">
        <x:v>规则版本</x:v>
      </x:c>
      <x:c r="B2" s="62" t="str">
        <x:v>BAG-SPECIAL-COST-20260722-V2</x:v>
      </x:c>
      <x:c r="C2" s="62"/>
      <x:c r="D2" s="62" t="str">
        <x:v>生效日期</x:v>
      </x:c>
      <x:c r="E2" s="62" t="str">
        <x:v>2026-07-22</x:v>
      </x:c>
      <x:c r="F2" s="62" t="str">
        <x:v>计价口径</x:v>
      </x:c>
      <x:c r="G2" s="62" t="str">
        <x:v>袋体原料 + 提手原料 + 人工电费 + 特殊定制费</x:v>
      </x:c>
      <x:c r="H2" s="62"/>
    </x:row>
    <x:row r="3" ht="34" customHeight="1">
      <x:c r="A3" s="64" t="str">
        <x:v>材料价版本</x:v>
      </x:c>
      <x:c r="B3" s="64" t="str">
        <x:v>MATERIAL-PRICE-SNAPSHOT-20260722-01</x:v>
      </x:c>
      <x:c r="C3" s="64"/>
      <x:c r="D3" s="64" t="str">
        <x:v>材料价来源</x:v>
      </x:c>
      <x:c r="E3" s="64" t="str">
        <x:v>当前已发布快照</x:v>
      </x:c>
      <x:c r="F3" s="64" t="str">
        <x:v>更新策略</x:v>
      </x:c>
      <x:c r="G3" s="64" t="str">
        <x:v>下单前按 ERP 最新确认批次重算</x:v>
      </x:c>
      <x:c r="H3" s="64"/>
    </x:row>
    <x:row r="4" ht="22" customHeight="1">
      <x:c r="A4" s="65" t="str">
        <x:v>客户与产品输入</x:v>
      </x:c>
      <x:c r="B4" s="65" t="str">
        <x:v>客户与产品输入</x:v>
      </x:c>
      <x:c r="C4" s="65"/>
      <x:c r="D4" s="65" t="str">
        <x:v>内部规则与材料价快照输入</x:v>
      </x:c>
      <x:c r="E4" s="65" t="str">
        <x:v>内部规则与材料价快照输入</x:v>
      </x:c>
      <x:c r="F4" s="65"/>
      <x:c r="G4" s="65" t="str">
        <x:v>数量阶梯</x:v>
      </x:c>
      <x:c r="H4" s="65" t="str">
        <x:v>特殊定制费/个</x:v>
      </x:c>
    </x:row>
    <x:row r="5" ht="22" customHeight="1">
      <x:c r="A5" s="51" t="str">
        <x:v>成品宽 W（cm）</x:v>
      </x:c>
      <x:c r="B5" s="66" t="n">
        <x:v>42</x:v>
      </x:c>
      <x:c r="C5" s="53"/>
      <x:c r="D5" s="51" t="str">
        <x:v>折边 F（cm）</x:v>
      </x:c>
      <x:c r="E5" s="67" t="n">
        <x:v>3</x:v>
      </x:c>
      <x:c r="F5" s="53"/>
      <x:c r="G5" s="55" t="n">
        <x:v>5000</x:v>
      </x:c>
      <x:c r="H5" s="68" t="n">
        <x:v>0.08</x:v>
      </x:c>
    </x:row>
    <x:row r="6" ht="22" customHeight="1">
      <x:c r="A6" s="51" t="str">
        <x:v>成品高 H（cm）</x:v>
      </x:c>
      <x:c r="B6" s="66" t="n">
        <x:v>34</x:v>
      </x:c>
      <x:c r="C6" s="53"/>
      <x:c r="D6" s="51" t="str">
        <x:v>接缝 S（cm）</x:v>
      </x:c>
      <x:c r="E6" s="67" t="n">
        <x:v>2</x:v>
      </x:c>
      <x:c r="F6" s="53"/>
      <x:c r="G6" s="55" t="n">
        <x:v>10000</x:v>
      </x:c>
      <x:c r="H6" s="68" t="n">
        <x:v>0.06</x:v>
      </x:c>
    </x:row>
    <x:row r="7" ht="22" customHeight="1">
      <x:c r="A7" s="51" t="str">
        <x:v>侧宽 G（cm）</x:v>
      </x:c>
      <x:c r="B7" s="66" t="n">
        <x:v>11</x:v>
      </x:c>
      <x:c r="C7" s="53"/>
      <x:c r="D7" s="51" t="str">
        <x:v>袋体克重（g）</x:v>
      </x:c>
      <x:c r="E7" s="67" t="n">
        <x:v>78</x:v>
      </x:c>
      <x:c r="F7" s="53"/>
      <x:c r="G7" s="53"/>
      <x:c r="H7" s="53"/>
    </x:row>
    <x:row r="8" ht="22" customHeight="1">
      <x:c r="A8" s="51" t="str">
        <x:v>订单数量（个）</x:v>
      </x:c>
      <x:c r="B8" s="66" t="n">
        <x:v>5000</x:v>
      </x:c>
      <x:c r="C8" s="53"/>
      <x:c r="D8" s="51" t="str">
        <x:v>袋体原料价（元/吨，快照输入）</x:v>
      </x:c>
      <x:c r="E8" s="66" t="n">
        <x:v>8900</x:v>
      </x:c>
      <x:c r="F8" s="53"/>
      <x:c r="G8" s="53"/>
      <x:c r="H8" s="53"/>
    </x:row>
    <x:row r="9" ht="22" customHeight="1">
      <x:c r="A9" s="51" t="str">
        <x:v>提手类型</x:v>
      </x:c>
      <x:c r="B9" s="66" t="str">
        <x:v>普通提</x:v>
      </x:c>
      <x:c r="C9" s="53"/>
      <x:c r="D9" s="51" t="str">
        <x:v>提手宽度（cm）</x:v>
      </x:c>
      <x:c r="E9" s="67" t="n">
        <x:v>5</x:v>
      </x:c>
      <x:c r="F9" s="53"/>
      <x:c r="G9" s="53"/>
      <x:c r="H9" s="53"/>
    </x:row>
    <x:row r="10" ht="22" customHeight="1">
      <x:c r="A10" s="51" t="str">
        <x:v>印刷方式</x:v>
      </x:c>
      <x:c r="B10" s="66" t="str">
        <x:v>丝网单面</x:v>
      </x:c>
      <x:c r="C10" s="53"/>
      <x:c r="D10" s="51" t="str">
        <x:v>提手克重（g）</x:v>
      </x:c>
      <x:c r="E10" s="67" t="n">
        <x:v>60</x:v>
      </x:c>
      <x:c r="F10" s="53"/>
      <x:c r="G10" s="53"/>
      <x:c r="H10" s="53"/>
    </x:row>
    <x:row r="11" ht="22" customHeight="1">
      <x:c r="A11" s="51" t="str">
        <x:v>按扣</x:v>
      </x:c>
      <x:c r="B11" s="66" t="str">
        <x:v>否</x:v>
      </x:c>
      <x:c r="C11" s="53"/>
      <x:c r="D11" s="51" t="str">
        <x:v>提手原料价（元/吨，快照输入）</x:v>
      </x:c>
      <x:c r="E11" s="66" t="n">
        <x:v>8900</x:v>
      </x:c>
      <x:c r="F11" s="53"/>
      <x:c r="G11" s="53"/>
      <x:c r="H11" s="53"/>
    </x:row>
    <x:row r="12" ht="22" customHeight="1">
      <x:c r="A12" s="51" t="str">
        <x:v>袋子颜色</x:v>
      </x:c>
      <x:c r="B12" s="66" t="str">
        <x:v>红色</x:v>
      </x:c>
      <x:c r="C12" s="53"/>
      <x:c r="D12" s="51" t="str">
        <x:v>每袋提手根数</x:v>
      </x:c>
      <x:c r="E12" s="67" t="n">
        <x:v>2</x:v>
      </x:c>
      <x:c r="F12" s="53"/>
      <x:c r="G12" s="53"/>
      <x:c r="H12" s="53"/>
    </x:row>
    <x:row r="13" ht="22" customHeight="1">
      <x:c r="A13" s="51" t="str">
        <x:v>提手颜色</x:v>
      </x:c>
      <x:c r="B13" s="66" t="str">
        <x:v>红色</x:v>
      </x:c>
      <x:c r="C13" s="53"/>
      <x:c r="D13" s="51" t="str">
        <x:v>普通提长度（cm）</x:v>
      </x:c>
      <x:c r="E13" s="67" t="n">
        <x:v>38</x:v>
      </x:c>
      <x:c r="F13" s="53"/>
      <x:c r="G13" s="53"/>
      <x:c r="H13" s="53"/>
    </x:row>
    <x:row r="14" ht="22" customHeight="1">
      <x:c r="A14" s="51" t="str">
        <x:v>报价说明</x:v>
      </x:c>
      <x:c r="B14" s="53" t="str">
        <x:v>预估价；私印含制版，不含运费税费</x:v>
      </x:c>
      <x:c r="C14" s="53"/>
      <x:c r="D14" s="51" t="str">
        <x:v>加长提长度（cm）</x:v>
      </x:c>
      <x:c r="E14" s="67" t="n">
        <x:v>50</x:v>
      </x:c>
      <x:c r="F14" s="53"/>
      <x:c r="G14" s="53"/>
      <x:c r="H14" s="53"/>
    </x:row>
    <x:row r="15" ht="22" customHeight="1">
      <x:c r="A15" s="53"/>
      <x:c r="B15" s="53"/>
      <x:c r="C15" s="53"/>
      <x:c r="D15" s="51" t="str">
        <x:v>人工+电费（元/个）</x:v>
      </x:c>
      <x:c r="E15" s="67" t="n">
        <x:v>0.03</x:v>
      </x:c>
      <x:c r="F15" s="53"/>
      <x:c r="G15" s="53"/>
      <x:c r="H15" s="53"/>
    </x:row>
    <x:row r="16" ht="22" customHeight="1">
      <x:c r="A16" s="49"/>
      <x:c r="B16" s="49"/>
      <x:c r="C16" s="49"/>
      <x:c r="D16" s="49"/>
      <x:c r="E16" s="49"/>
      <x:c r="F16" s="49"/>
      <x:c r="G16" s="49"/>
      <x:c r="H16" s="49"/>
    </x:row>
    <x:row r="17" ht="22" customHeight="1">
      <x:c r="A17" s="65" t="str">
        <x:v>公式结果（黄色为输入，绿色为结果）</x:v>
      </x:c>
      <x:c r="B17" s="65" t="str">
        <x:v>公式结果（黄色为输入，绿色为结果）</x:v>
      </x:c>
      <x:c r="C17" s="49"/>
      <x:c r="D17" s="65" t="str">
        <x:v>边界与说明</x:v>
      </x:c>
      <x:c r="E17" s="65" t="str">
        <x:v>边界与说明</x:v>
      </x:c>
      <x:c r="F17" s="65" t="str">
        <x:v>边界与说明</x:v>
      </x:c>
      <x:c r="G17" s="65" t="str">
        <x:v>边界与说明</x:v>
      </x:c>
      <x:c r="H17" s="65" t="str">
        <x:v>边界与说明</x:v>
      </x:c>
    </x:row>
    <x:row r="18" ht="22" customHeight="1">
      <x:c r="A18" s="51" t="str">
        <x:v>袋体所需宽幅（m）</x:v>
      </x:c>
      <x:c r="B18" s="69" t="n">
        <x:f>(B6*2+B7+$E$5*2)/100</x:f>
        <x:v>0.85</x:v>
      </x:c>
      <x:c r="C18" s="49"/>
      <x:c r="D18" s="74" t="str">
        <x:v>宽度</x:v>
      </x:c>
      <x:c r="E18" s="75" t="str">
        <x:v>20–50cm</x:v>
      </x:c>
      <x:c r="F18" s="74" t="str">
        <x:v>高度</x:v>
      </x:c>
      <x:c r="G18" s="75" t="str">
        <x:v>20–42cm</x:v>
      </x:c>
      <x:c r="H18" s="75"/>
    </x:row>
    <x:row r="19" ht="22" customHeight="1">
      <x:c r="A19" s="51" t="str">
        <x:v>袋体所需布长（m）</x:v>
      </x:c>
      <x:c r="B19" s="69" t="n">
        <x:f>(B5+B7+$E$6)/100</x:f>
        <x:v>0.55</x:v>
      </x:c>
      <x:c r="C19" s="49"/>
      <x:c r="D19" s="74" t="str">
        <x:v>侧宽</x:v>
      </x:c>
      <x:c r="E19" s="75" t="str">
        <x:v>6–18cm</x:v>
      </x:c>
      <x:c r="F19" s="74" t="str">
        <x:v>数量</x:v>
      </x:c>
      <x:c r="G19" s="75" t="str">
        <x:v>5000–1000000</x:v>
      </x:c>
      <x:c r="H19" s="75"/>
    </x:row>
    <x:row r="20" ht="22" customHeight="1">
      <x:c r="A20" s="51" t="str">
        <x:v>袋体原材料（元/个）</x:v>
      </x:c>
      <x:c r="B20" s="69" t="n">
        <x:f>B18*B19*($E$7/1000000)*$E$8</x:f>
        <x:v>0.32453850000000006</x:v>
      </x:c>
      <x:c r="C20" s="49"/>
      <x:c r="D20" s="74" t="str">
        <x:v>5000–9999</x:v>
      </x:c>
      <x:c r="E20" s="75" t="str">
        <x:v>¥0.08/个</x:v>
      </x:c>
      <x:c r="F20" s="74" t="str">
        <x:v>10000起</x:v>
      </x:c>
      <x:c r="G20" s="75" t="str">
        <x:v>¥0.06/个</x:v>
      </x:c>
      <x:c r="H20" s="75"/>
    </x:row>
    <x:row r="21" ht="22" customHeight="1">
      <x:c r="A21" s="51" t="str">
        <x:v>普通提手原材料（元/个）</x:v>
      </x:c>
      <x:c r="B21" s="69" t="n">
        <x:f>($E$9/100)*($E$13/100)*($E$10/1000000)*$E$11*$E$12</x:f>
        <x:v>0.020292000000000004</x:v>
      </x:c>
      <x:c r="C21" s="49"/>
      <x:c r="D21" s="74" t="str">
        <x:v>普通提</x:v>
      </x:c>
      <x:c r="E21" s="75" t="str">
        <x:v>38cm</x:v>
      </x:c>
      <x:c r="F21" s="74" t="str">
        <x:v>加长提</x:v>
      </x:c>
      <x:c r="G21" s="75" t="str">
        <x:v>50cm（按新增用料）</x:v>
      </x:c>
      <x:c r="H21" s="75"/>
    </x:row>
    <x:row r="22" ht="22" customHeight="1">
      <x:c r="A22" s="51" t="str">
        <x:v>所选提手原材料（元/个）</x:v>
      </x:c>
      <x:c r="B22" s="69" t="n">
        <x:f>IF(B9="加长提",($E$9/100)*($E$14/100)*($E$10/1000000)*$E$11*$E$12,B21)</x:f>
        <x:v>0.020292000000000004</x:v>
      </x:c>
      <x:c r="C22" s="49"/>
      <x:c r="D22" s="74" t="str">
        <x:v>标准成品加长提</x:v>
      </x:c>
      <x:c r="E22" s="75" t="str">
        <x:v>仍按现有价格表</x:v>
      </x:c>
      <x:c r="F22" s="74" t="str">
        <x:v>特殊型号加长提</x:v>
      </x:c>
      <x:c r="G22" s="75" t="str">
        <x:v>不套用固定¥0.03</x:v>
      </x:c>
      <x:c r="H22" s="75"/>
    </x:row>
    <x:row r="23" ht="22" customHeight="1">
      <x:c r="A23" s="51" t="str">
        <x:v>人工+电费（元/个）</x:v>
      </x:c>
      <x:c r="B23" s="69" t="n">
        <x:f>$E$15</x:f>
        <x:v>0.03</x:v>
      </x:c>
      <x:c r="C23" s="49"/>
      <x:c r="D23" s="74" t="str">
        <x:v>客户展示</x:v>
      </x:c>
      <x:c r="E23" s="75" t="str">
        <x:v>只展示费用结果</x:v>
      </x:c>
      <x:c r="F23" s="74" t="str">
        <x:v>内部保存</x:v>
      </x:c>
      <x:c r="G23" s="75" t="str">
        <x:v>规则版本与成本快照</x:v>
      </x:c>
      <x:c r="H23" s="75"/>
    </x:row>
    <x:row r="24" ht="22" customHeight="1">
      <x:c r="A24" s="51" t="str">
        <x:v>基础袋成本/预估价（普通提）</x:v>
      </x:c>
      <x:c r="B24" s="70" t="n">
        <x:f>ROUND(B20+B21+B23,2)</x:f>
        <x:v>0.37</x:v>
      </x:c>
      <x:c r="C24" s="49"/>
      <x:c r="D24" s="74" t="str">
        <x:v>材料价来源</x:v>
      </x:c>
      <x:c r="E24" s="75" t="str">
        <x:v>ERP 最新确认供应商/批次</x:v>
      </x:c>
      <x:c r="F24" s="74" t="str">
        <x:v>兜底</x:v>
      </x:c>
      <x:c r="G24" s="75" t="str">
        <x:v>已发布材料价快照</x:v>
      </x:c>
      <x:c r="H24" s="75"/>
    </x:row>
    <x:row r="25" ht="22" customHeight="1">
      <x:c r="A25" s="51" t="str">
        <x:v>特殊定制费用（元/个）</x:v>
      </x:c>
      <x:c r="B25" s="70" t="n">
        <x:f>IF(B8&gt;=$G$6,$H$6,IF(B8&gt;=$G$5,$H$5,NA()))</x:f>
        <x:v>0.08</x:v>
      </x:c>
      <x:c r="C25" s="49"/>
      <x:c r="D25" s="74" t="str">
        <x:v>报价锁定</x:v>
      </x:c>
      <x:c r="E25" s="75" t="str">
        <x:v>下单前随新批次重算</x:v>
      </x:c>
      <x:c r="F25" s="74" t="str">
        <x:v>正式订单</x:v>
      </x:c>
      <x:c r="G25" s="75" t="str">
        <x:v>锁定下单时报价快照</x:v>
      </x:c>
      <x:c r="H25" s="75"/>
    </x:row>
    <x:row r="26" ht="22" customHeight="1">
      <x:c r="A26" s="51" t="str">
        <x:v>袋子价格（含特殊定制费）</x:v>
      </x:c>
      <x:c r="B26" s="70" t="n">
        <x:f>ROUND(B24+B25,2)</x:f>
        <x:v>0.45</x:v>
      </x:c>
      <x:c r="C26" s="49"/>
      <x:c r="D26" s="74" t="str">
        <x:v>私印与其他</x:v>
      </x:c>
      <x:c r="E26" s="75" t="str">
        <x:v>印刷费已含制版</x:v>
      </x:c>
      <x:c r="F26" s="74" t="str">
        <x:v>报价不含</x:v>
      </x:c>
      <x:c r="G26" s="75" t="str">
        <x:v>运费、税费</x:v>
      </x:c>
      <x:c r="H26" s="75"/>
    </x:row>
    <x:row r="27" ht="22" customHeight="1">
      <x:c r="A27" s="51" t="str">
        <x:v>加长提费用（按新增用料）</x:v>
      </x:c>
      <x:c r="B27" s="70" t="n">
        <x:f>ROUND(MAX(0,B22-B21),2)</x:f>
        <x:v>0</x:v>
      </x:c>
      <x:c r="C27" s="49"/>
      <x:c r="D27" s="49"/>
      <x:c r="E27" s="49"/>
      <x:c r="F27" s="49"/>
      <x:c r="G27" s="49"/>
      <x:c r="H27" s="49"/>
    </x:row>
    <x:row r="28" ht="22" customHeight="1">
      <x:c r="A28" s="51" t="str">
        <x:v>丝网印刷费用（元/个）</x:v>
      </x:c>
      <x:c r="B28" s="70" t="n">
        <x:f>IF(B10="不印刷",0,IF(B8&gt;=10000,0.06,IF(B8&gt;=5000,0.08,IF(B8&gt;=3000,0.09,IF(OR(B10="丝网双面",B10="丝网双面不同"),0.13,0.09)))))</x:f>
        <x:v>0.08</x:v>
      </x:c>
      <x:c r="C28" s="49"/>
      <x:c r="D28" s="49"/>
      <x:c r="E28" s="49"/>
      <x:c r="F28" s="49"/>
      <x:c r="G28" s="49"/>
      <x:c r="H28" s="49"/>
    </x:row>
    <x:row r="29" ht="22" customHeight="1">
      <x:c r="A29" s="51" t="str">
        <x:v>按扣费用（元/个）</x:v>
      </x:c>
      <x:c r="B29" s="70" t="n">
        <x:f>IF(B11="是",0.10,0)</x:f>
        <x:v>0</x:v>
      </x:c>
      <x:c r="C29" s="49"/>
      <x:c r="D29" s="49"/>
      <x:c r="E29" s="49"/>
      <x:c r="F29" s="49"/>
      <x:c r="G29" s="49"/>
      <x:c r="H29" s="49"/>
    </x:row>
    <x:row r="30" ht="22" customHeight="1">
      <x:c r="A30" s="51" t="str">
        <x:v>预估单价合计（元/个）</x:v>
      </x:c>
      <x:c r="B30" s="70" t="n">
        <x:f>SUM(B26:B29)</x:f>
        <x:v>0.53</x:v>
      </x:c>
      <x:c r="C30" s="49"/>
      <x:c r="D30" s="49"/>
      <x:c r="E30" s="49"/>
      <x:c r="F30" s="49"/>
      <x:c r="G30" s="49"/>
      <x:c r="H30" s="49"/>
    </x:row>
    <x:row r="31" ht="22" customHeight="1">
      <x:c r="A31" s="51" t="str">
        <x:v>预估总额（元）</x:v>
      </x:c>
      <x:c r="B31" s="71" t="n">
        <x:f>B30*B8</x:f>
        <x:v>2650</x:v>
      </x:c>
      <x:c r="C31" s="49"/>
      <x:c r="D31" s="49"/>
      <x:c r="E31" s="49"/>
      <x:c r="F31" s="49"/>
      <x:c r="G31" s="49"/>
      <x:c r="H31" s="49"/>
    </x:row>
    <x:row r="32" ht="22" customHeight="1">
      <x:c r="A32" s="51" t="str">
        <x:v>核价状态</x:v>
      </x:c>
      <x:c r="B32" s="73" t="str">
        <x:f>IF(AND(B5&gt;=20,B5&lt;=50,B6&gt;=20,B6&lt;=42,B7&gt;=6,B7&lt;=18,B8&gt;=5000,B8&lt;=1000000),"可提交工厂核价","输入超出特殊型号边界")</x:f>
        <x:v>可提交工厂核价</x:v>
      </x:c>
      <x:c r="C32" s="49"/>
      <x:c r="D32" s="49"/>
      <x:c r="E32" s="49"/>
      <x:c r="F32" s="49"/>
      <x:c r="G32" s="49"/>
      <x:c r="H32" s="49"/>
    </x:row>
  </x:sheetData>
  <x:mergeCells>
    <x:mergeCell ref="A1:H1"/>
    <x:mergeCell ref="G2:H2"/>
    <x:mergeCell ref="A4:B4"/>
    <x:mergeCell ref="D4:E4"/>
    <x:mergeCell ref="A17:B17"/>
    <x:mergeCell ref="D17:H17"/>
    <x:mergeCell ref="G3:H3"/>
  </x:mergeCells>
  <x:dataValidations count="5">
    <x:dataValidation type="list" sqref="B9">
      <x:formula1>"普通提,加长提"</x:formula1>
    </x:dataValidation>
    <x:dataValidation type="list" sqref="B10">
      <x:formula1>"不印刷,丝网单面,丝网双面,丝网双面不同"</x:formula1>
    </x:dataValidation>
    <x:dataValidation type="list" sqref="B11">
      <x:formula1>"否,是"</x:formula1>
    </x:dataValidation>
    <x:dataValidation type="decimal" operator="greaterThan" sqref="B5:B7">
      <x:formula1>0</x:formula1>
    </x:dataValidation>
    <x:dataValidation type="whole" operator="between" sqref="B8">
      <x:formula1>5000</x:formula1>
      <x:formula2>1000000</x:formula2>
    </x:dataValidation>
  </x:dataValidations>
  <x:pageMargins left="0.7" right="0.7" top="0.75" bottom="0.75" header="0.3" footer="0.3"/>
</x:worksheet>
</file>